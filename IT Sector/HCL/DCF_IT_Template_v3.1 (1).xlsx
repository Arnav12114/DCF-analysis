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Data Sheet" sheetId="1" state="visible" r:id="rId3"/>
    <sheet name="📋 Cover" sheetId="2" state="visible" r:id="rId4"/>
    <sheet name="📊 Hist Data" sheetId="3" state="visible" r:id="rId5"/>
    <sheet name="🔑 Assumptions" sheetId="4" state="visible" r:id="rId6"/>
    <sheet name="📈 Projections" sheetId="5" state="visible" r:id="rId7"/>
    <sheet name="💰 FCF &amp; Val" sheetId="6" state="visible" r:id="rId8"/>
    <sheet name="🔬 Sensitivity" sheetId="7" state="visible" r:id="rId9"/>
    <sheet name="📐 Beta Calc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7" authorId="0">
      <text>
        <r>
          <rPr>
            <sz val="10"/>
            <rFont val="Arial"/>
            <family val="2"/>
          </rPr>
          <t xml:space="preserve">Redefined to clean operating working capital (trade cycle).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3" authorId="0">
      <text>
        <r>
          <rPr>
            <sz val="10"/>
            <rFont val="Arial"/>
            <family val="2"/>
          </rPr>
          <t xml:space="preserve">IT-SPECIFIC: D&amp;A is TRENDING UP because:
1. Ind AS 116: office leases now capitalised
2. Delivery centre expansions
How to get FY2027-28:
Trendlyne → EBITDA Margin - EBIT Margin = D&amp;A%</t>
        </r>
      </text>
    </comment>
    <comment ref="B29" authorId="0">
      <text>
        <r>
          <rPr>
            <sz val="10"/>
            <rFont val="Arial"/>
            <family val="2"/>
          </rPr>
          <t xml:space="preserve">Enter CAPEX as % of REVENUE — not ₹ Cr
IT capex scales with headcount/revenue.
FY2027-28: Trendlyne capex estimate ÷ revenue estimate
FY2029-34: Held flat at FY2028 rate (stable)
Benchmarks:
TCS: ~1.5% | Infosys: ~2% | HCL: ~2.5% | Wipro: ~2%</t>
        </r>
      </text>
    </comment>
    <comment ref="B35" authorId="0">
      <text>
        <r>
          <rPr>
            <sz val="10"/>
            <rFont val="Arial"/>
            <family val="2"/>
          </rPr>
          <t xml:space="preserve">Historical NWC % shows how much working capital the company needs
as a % of revenue. Trend matters:
Declining % = improving cash conversion (good)
Rising % = more cash tied up in WC (bad)
HCL trend: ~14% (FY22) → ~6% (FY26) = improving ✅
Individual years shown in columns D-H for full picture.</t>
        </r>
      </text>
    </comment>
    <comment ref="B36" authorId="0">
      <text>
        <r>
          <rPr>
            <sz val="10"/>
            <rFont val="Arial"/>
            <family val="2"/>
          </rPr>
          <t xml:space="preserve">PRIMARY DRIVER — this single % drives all WC projections
How NWC grows automatically:
→ Projected NWC = NWC% × Projected Revenue
→ Revenue grows each year → NWC grows proportionally
→ ΔWC = cash consumed each year by WC growth
No separate assumptions needed for debtors, creditors etc.
To override FY2027-28:
1. Click D36 or E36 → type your % directly
2. Source: Trendlyne Forecaster → WC line
   OR use last year's actual NWC% as proxy</t>
        </r>
      </text>
    </comment>
    <comment ref="B95" authorId="0">
      <text>
        <r>
          <rPr>
            <sz val="10"/>
            <rFont val="Arial"/>
            <family val="2"/>
          </rPr>
          <t xml:space="preserve">Most large IT companies are NET CASH:
TCS: ~₹60,000 Cr net cash
Infosys: ~₹35,000 Cr net cash
HCL Tech: ~₹18,000 Cr net cash
If positive: add this to Enterprise Value
to get Equity Value (already in bridge formula)</t>
        </r>
      </text>
    </comment>
    <comment ref="C8" authorId="0">
      <text>
        <r>
          <rPr>
            <sz val="10"/>
            <rFont val="Arial"/>
            <family val="2"/>
          </rPr>
          <t xml:space="preserve">IT Sub-sectors:
Pure-Play IT Services: TCS, Infosys, Wipro
IT + BPO: HCL Tech, Mphasis
Product + Platform: Tata Elxsi, KPIT
Engineering Services: L&amp;T Tech, Cyient</t>
        </r>
      </text>
    </comment>
    <comment ref="C15" authorId="0">
      <text>
        <r>
          <rPr>
            <sz val="10"/>
            <rFont val="Arial"/>
            <family val="2"/>
          </rPr>
          <t xml:space="preserve">USE EFFECTIVE TAX RATE — not 25.2% statutory
IT companies pay less because of:
• SEZ (Special Economic Zones) tax holidays
• STPI (Software Tech Parks) exemptions
• Export income deductions
Where: Screener.in → P&amp;L tab → 'Tax %' row
Take 3-year average.
Benchmarks: TCS ~22%, Infosys ~21%, HCL ~21%</t>
        </r>
      </text>
    </comment>
    <comment ref="C36" authorId="0">
      <text>
        <r>
          <rPr>
            <sz val="10"/>
            <rFont val="Arial"/>
            <family val="2"/>
          </rPr>
          <t xml:space="preserve">KEY LEVER - Projected operating NWC % (5Y weighted avg of clean series ~15.8%). Series improving (16.7%-&gt;12.4%). Lower toward ~12% if recent efficiency holds; ~9-10% if including operating accruals.</t>
        </r>
      </text>
    </comment>
    <comment ref="C55" authorId="0">
      <text>
        <r>
          <rPr>
            <sz val="10"/>
            <rFont val="Arial"/>
            <family val="2"/>
          </rPr>
          <t xml:space="preserve">Use India 10-Year G-Sec yield
</t>
        </r>
        <r>
          <rPr>
            <sz val="10"/>
            <color rgb="FF000000"/>
            <rFont val="Arial"/>
            <family val="2"/>
            <charset val="1"/>
          </rPr>
          <t xml:space="preserve">
Sources:
1. investing.com → 'India 10 Year Bond'
2. rbi.org.in → Government Securities
Current (May 2026): ~7.0-7.1%
Always use CURRENT yield, not historical avg.</t>
        </r>
      </text>
    </comment>
    <comment ref="C56" authorId="0">
      <text>
        <r>
          <rPr>
            <sz val="10"/>
            <rFont val="Arial"/>
            <family val="2"/>
          </rPr>
          <t xml:space="preserve">Damodaran ERP — gold standard source
URL: pages.stern.nyu.edu/~adamodar
→ Click 'Implied ERP'
→ Find India row
→ Use 'Implied ERP (FCFE)' column
Current India ERP (2026): ~7.0-7.5%
Updated monthly — always use latest</t>
        </r>
      </text>
    </comment>
    <comment ref="C82" authorId="0">
      <text>
        <r>
          <rPr>
            <sz val="10"/>
            <rFont val="Arial"/>
            <family val="2"/>
          </rPr>
          <t xml:space="preserve">IT companies invest cash in:
• Liquid mutual funds (~6.5-7%)
• Fixed Deposits (~7%)
• Short-term bonds (~7%)
Use 6.5% as conservative estimate.
This drives projected Other Income.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2" authorId="0">
      <text>
        <r>
          <rPr>
            <sz val="10"/>
            <rFont val="Arial"/>
            <family val="2"/>
          </rPr>
          <t xml:space="preserve">Interest held flat at last actual. Debt schedule removed - unlevered FCFF model, debt never affects intrinsic value. Only current net cash (equity bridge) is used.</t>
        </r>
      </text>
    </comment>
    <comment ref="B13" authorId="0">
      <text>
        <r>
          <rPr>
            <sz val="10"/>
            <rFont val="Arial"/>
            <family val="2"/>
          </rPr>
          <t xml:space="preserve">IT-SPECIFIC: Other Income is projected as:
= Net Cash Balance (end of prior year) × Treasury Yield %
This is more accurate than flat carry-forward because:
IT companies (TCS, Infy, HCL) earn ₹3,000-6,000 Cr/year
in interest/dividend income on their cash piles.
As FCF accumulates, cash grows → Other Income grows.
Treasury Yield assumption is in Assumptions Section G.</t>
        </r>
      </text>
    </comment>
    <comment ref="B26" authorId="0">
      <text>
        <r>
          <rPr>
            <sz val="10"/>
            <rFont val="Arial"/>
            <family val="2"/>
          </rPr>
          <t xml:space="preserve">Linked from Assumptions Section D row 36.
FY2026 = actual NWC% calculated from Hist Data.
FY2027-28 = your input in Assumptions.
FY2029+ = auto (flat at FY2028 level).</t>
        </r>
      </text>
    </comment>
    <comment ref="B27" authorId="0">
      <text>
        <r>
          <rPr>
            <sz val="10"/>
            <rFont val="Arial"/>
            <family val="2"/>
          </rPr>
          <t xml:space="preserve">NWC (₹ Cr) = NWC% </t>
        </r>
        <r>
          <rPr>
            <sz val="10"/>
            <color rgb="FF000000"/>
            <rFont val="Arial"/>
            <family val="2"/>
            <charset val="1"/>
          </rPr>
          <t xml:space="preserve">× Revenue
FY2026 = actual from Hist Data BS
FY2027+ = NWC% assumption × projected revenue
As revenue grows, NWC grows proportionally.
This is the cash tied up in working capital.</t>
        </r>
      </text>
    </comment>
    <comment ref="B34" authorId="0">
      <text>
        <r>
          <rPr>
            <sz val="10"/>
            <rFont val="Arial"/>
            <family val="2"/>
          </rPr>
          <t xml:space="preserve">ΔWC = NWC% x (Revenue_t - Revenue_t-1): WC charged only on incremental revenue. Removes the prior one-time FY27 catch-up.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6" authorId="0">
      <text>
        <r>
          <rPr>
            <sz val="10"/>
            <rFont val="Arial"/>
            <family val="2"/>
          </rPr>
          <t xml:space="preserve">If this number is POSITIVE → company is NET CASH
(Cash &gt; Debt). This is typical for TCS, Infosys.
In the equity bridge below:
EV + Cash - Debt = EV + Net Cash (positive adds to equity value)
If NEGATIVE → company is NET DEBT (Debt &gt; Cash)
This is less common for large-cap IT but applies to some mid-caps.</t>
        </r>
      </text>
    </comment>
    <comment ref="C45" authorId="0">
      <text>
        <r>
          <rPr>
            <sz val="10"/>
            <rFont val="Arial"/>
            <family val="2"/>
          </rPr>
          <t xml:space="preserve">IT Valuation Sanity Checks:
P/E implied = Intrinsic Value ÷ EPS
P/FCF implied = Intrinsic Value ÷ FCF per share
IT sector typical ranges:
P/E: 20-30x for large-cap (TCS/Infy)
EV/EBITDA: 15-25x for large-cap
FCF Yield: 3-5% at fair value
If your intrinsic value implies &gt;35x P/E,
check your growth and margin assumptions.</t>
        </r>
      </text>
    </comment>
    <comment ref="C48" authorId="0">
      <text>
        <r>
          <rPr>
            <sz val="10"/>
            <rFont val="Arial"/>
            <family val="2"/>
          </rPr>
          <t xml:space="preserve">VERDICT THRESHOLDS:
</t>
        </r>
        <r>
          <rPr>
            <sz val="10"/>
            <color rgb="FF000000"/>
            <rFont val="Arial"/>
            <family val="2"/>
            <charset val="1"/>
          </rPr>
          <t xml:space="preserve">🟢 UNDERVALUED: Intrinsic &gt; CMP by &gt;10%
🟡 FAIRLY VALUED: Within ±10% of CMP
🔴 OVERVALUED: CMP &gt; Intrinsic by &gt;10%
IT-specific note: Market often prices IT at premium
to DCF intrinsic value due to quality premium.
A 'OVERVALUED' verdict doesn't mean sell —
check vs sensitivity table for margin of safety.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5" authorId="0">
      <text>
        <r>
          <rPr>
            <sz val="10"/>
            <rFont val="Arial"/>
            <family val="2"/>
          </rPr>
          <t xml:space="preserve">Auto-populating: =[sum of FCFF discounted at this row WACC] + [terminal value at this WACC &amp; column g, discounted back 8y] + net cash, all over shares. Updates live with the model.</t>
        </r>
      </text>
    </comment>
  </commentList>
</comments>
</file>

<file path=xl/sharedStrings.xml><?xml version="1.0" encoding="utf-8"?>
<sst xmlns="http://schemas.openxmlformats.org/spreadsheetml/2006/main" count="662" uniqueCount="545">
  <si>
    <t xml:space="preserve">COMPANY NAME</t>
  </si>
  <si>
    <t xml:space="preserve">LATEST VERSION</t>
  </si>
  <si>
    <t xml:space="preserve">Do Not Make any changes to this sheet</t>
  </si>
  <si>
    <t xml:space="preserve">CURRENT VERSION</t>
  </si>
  <si>
    <t xml:space="preserve">This sheet is auto popuated by Screener</t>
  </si>
  <si>
    <t xml:space="preserve">META</t>
  </si>
  <si>
    <t xml:space="preserve">Number of shares</t>
  </si>
  <si>
    <t xml:space="preserve">Face Value</t>
  </si>
  <si>
    <t xml:space="preserve">Current Price</t>
  </si>
  <si>
    <t xml:space="preserve">Market Capitalization</t>
  </si>
  <si>
    <t xml:space="preserve">PROFIT &amp; LOSS</t>
  </si>
  <si>
    <t xml:space="preserve">Report Date</t>
  </si>
  <si>
    <t xml:space="preserve">Sales</t>
  </si>
  <si>
    <t xml:space="preserve">Raw Material Cost</t>
  </si>
  <si>
    <t xml:space="preserve">Change in Inventory</t>
  </si>
  <si>
    <t xml:space="preserve">Power and Fuel</t>
  </si>
  <si>
    <t xml:space="preserve">Other Mfr. Exp</t>
  </si>
  <si>
    <t xml:space="preserve">Employee Cost</t>
  </si>
  <si>
    <t xml:space="preserve">Selling and admin</t>
  </si>
  <si>
    <t xml:space="preserve">Other Expenses</t>
  </si>
  <si>
    <t xml:space="preserve">Other Income</t>
  </si>
  <si>
    <t xml:space="preserve">Depreciation</t>
  </si>
  <si>
    <t xml:space="preserve">Interest</t>
  </si>
  <si>
    <t xml:space="preserve">Profit before tax</t>
  </si>
  <si>
    <t xml:space="preserve">Tax</t>
  </si>
  <si>
    <t xml:space="preserve">Net profit</t>
  </si>
  <si>
    <t xml:space="preserve">Dividend Amount</t>
  </si>
  <si>
    <t xml:space="preserve">Quarters</t>
  </si>
  <si>
    <t xml:space="preserve">Expenses</t>
  </si>
  <si>
    <t xml:space="preserve">Operating Profit</t>
  </si>
  <si>
    <t xml:space="preserve">BALANCE SHEET</t>
  </si>
  <si>
    <t xml:space="preserve">Equity Share Capital</t>
  </si>
  <si>
    <t xml:space="preserve">Reserves</t>
  </si>
  <si>
    <t xml:space="preserve">Borrowings</t>
  </si>
  <si>
    <t xml:space="preserve">Other Liabilities</t>
  </si>
  <si>
    <t xml:space="preserve">Total</t>
  </si>
  <si>
    <t xml:space="preserve">Net Block</t>
  </si>
  <si>
    <t xml:space="preserve">Capital Work in Progress</t>
  </si>
  <si>
    <t xml:space="preserve">Investments</t>
  </si>
  <si>
    <t xml:space="preserve">Other Assets</t>
  </si>
  <si>
    <t xml:space="preserve">Receivables</t>
  </si>
  <si>
    <t xml:space="preserve">Inventory</t>
  </si>
  <si>
    <t xml:space="preserve">Cash &amp; Bank</t>
  </si>
  <si>
    <t xml:space="preserve">No. of Equity Shares</t>
  </si>
  <si>
    <t xml:space="preserve">New Bonus Shares</t>
  </si>
  <si>
    <t xml:space="preserve">Face value</t>
  </si>
  <si>
    <t xml:space="preserve">CASH FLOW:</t>
  </si>
  <si>
    <t xml:space="preserve">Cash from Operating Activity</t>
  </si>
  <si>
    <t xml:space="preserve">Cash from Investing Activity</t>
  </si>
  <si>
    <t xml:space="preserve">Cash from Financing Activity</t>
  </si>
  <si>
    <t xml:space="preserve">Net Cash Flow</t>
  </si>
  <si>
    <t xml:space="preserve">PRICE:</t>
  </si>
  <si>
    <t xml:space="preserve">DERIVED:</t>
  </si>
  <si>
    <t xml:space="preserve">Adjusted Equity Shares in Cr</t>
  </si>
  <si>
    <t xml:space="preserve">Stock Price </t>
  </si>
  <si>
    <t xml:space="preserve">DCF VALUATION MODEL  v3.0  —  IT / TECHNOLOGY SERVICES</t>
  </si>
  <si>
    <t xml:space="preserve">Indian Listed IT Companies  ·  Screener.in + Trendlyne + CompaniesMarketCap  ·  IT-Specific Assumptions Engine</t>
  </si>
  <si>
    <t xml:space="preserve">🖥️  SECTOR: IT / TECHNOLOGY SERVICES</t>
  </si>
  <si>
    <t xml:space="preserve">  COMPANY DETAILS</t>
  </si>
  <si>
    <t xml:space="preserve">Company Name</t>
  </si>
  <si>
    <t xml:space="preserve">Ticker</t>
  </si>
  <si>
    <t xml:space="preserve">Sector</t>
  </si>
  <si>
    <t xml:space="preserve">Valuation Date</t>
  </si>
  <si>
    <t xml:space="preserve">Analyst</t>
  </si>
  <si>
    <t xml:space="preserve">  COLOR LEGEND — CRITICAL TO UNDERSTAND</t>
  </si>
  <si>
    <t xml:space="preserve">Blue / Light blue    →  Historical INPUT  (paste from Screener.in)</t>
  </si>
  <si>
    <t xml:space="preserve">Blue / Yellow         →  KEY INPUT  (forecast years from Trendlyne Forecaster, or your judgment)</t>
  </si>
  <si>
    <t xml:space="preserve">Purple / Lavender     →  AUTO-PROJECTED  (formula: taper / TREND — do not edit)</t>
  </si>
  <si>
    <t xml:space="preserve">Black / White          →  FORMULA  (auto-calculated — never type here)</t>
  </si>
  <si>
    <t xml:space="preserve">Green / Green          →  Cross-sheet LINK</t>
  </si>
  <si>
    <t xml:space="preserve">Red / Orange           →  ERROR CHECK  (must = 0)</t>
  </si>
  <si>
    <t xml:space="preserve">  PROJECTION METHODOLOGY  —  IT SERVICES SPECIFIC</t>
  </si>
  <si>
    <t xml:space="preserve">Revenue Growth %</t>
  </si>
  <si>
    <t xml:space="preserve">FY2027-28: Trendlyne Forecaster analyst consensus  →  FY2029-34: Linear taper from FY2028 to terminal g (5–6%) by FY2034</t>
  </si>
  <si>
    <t xml:space="preserve">EBITDA Margin %</t>
  </si>
  <si>
    <t xml:space="preserve">FY2027-28: Trendlyne analyst consensus  →  FY2029-34: Excel TREND function on 7 data points. IT margins are structurally stable (20–25% band).</t>
  </si>
  <si>
    <t xml:space="preserve">D&amp;A / Revenue %</t>
  </si>
  <si>
    <t xml:space="preserve">FY2027-28: Derived as (EBITDA% − EBIT%) from Trendlyne  →  FY2029-34: TREND function (NOT median — IT D&amp;A is trending up due to Ind AS 116 lease accounting)</t>
  </si>
  <si>
    <t xml:space="preserve">Capex % Revenue</t>
  </si>
  <si>
    <t xml:space="preserve">IT-SPECIFIC: Modelled as % of revenue (1.5–3%), NOT absolute ₹ taper. Capex scales with headcount. FY2027-28: Trendlyne. FY2029-34: held flat at FY2028 level.</t>
  </si>
  <si>
    <t xml:space="preserve">Working Capital</t>
  </si>
  <si>
    <t xml:space="preserve">NWC % OF REVENUE approach. Historical NWC% auto-calculated from Hist Data. FY2027-28: user inputs NWC% (default = 5Y hist avg). FY2029+: flat at FY2028 level. ΔWC = (NWC% × Revenue_N) − (NWC% × Revenue_N-1). No separate debtor/creditor day assumptions needed.</t>
  </si>
  <si>
    <t xml:space="preserve">IT-SPECIFIC: Modelled as Net Cash Balance × Treasury Yield %. IT majors earn ₹3,000–6,000 Cr/yr in interest income on cash pile. NOT flat carry-forward.</t>
  </si>
  <si>
    <t xml:space="preserve">  QUICK START — 7 STEPS  (IT Services)</t>
  </si>
  <si>
    <t xml:space="preserve">Step 1</t>
  </si>
  <si>
    <t xml:space="preserve">📊 Hist Data</t>
  </si>
  <si>
    <t xml:space="preserve">P&amp;L, BS &amp; CF auto-fill from the Screener export. Enter only blue cells (borrowings split, payables, capex) + yellow Market Cap (CompaniesMarketCap.com). Balance Sheet Check must = 0.</t>
  </si>
  <si>
    <t xml:space="preserve">Step 2</t>
  </si>
  <si>
    <t xml:space="preserve">🔑 Assumptions A</t>
  </si>
  <si>
    <t xml:space="preserve">Company name, ticker, IT sub-sector, effective tax rate (Screener 3Y avg, ~20-23%), terminal growth g (5-6%).</t>
  </si>
  <si>
    <t xml:space="preserve">Step 3</t>
  </si>
  <si>
    <t xml:space="preserve">🔑 Assumptions B</t>
  </si>
  <si>
    <t xml:space="preserve">Yellow cells: Revenue growth % + EBITDA margin % + D&amp;A % from Trendlyne Forecaster. Purple cells auto-project.</t>
  </si>
  <si>
    <t xml:space="preserve">Step 4</t>
  </si>
  <si>
    <t xml:space="preserve">🔑 Assumptions C-D</t>
  </si>
  <si>
    <t xml:space="preserve">Capex % of Revenue (Trendlyne) and NWC % of Revenue (default = 5Y historical average).</t>
  </si>
  <si>
    <t xml:space="preserve">Step 5</t>
  </si>
  <si>
    <t xml:space="preserve">📐 Beta Calc</t>
  </si>
  <si>
    <t xml:space="preserve">Paste 3Y weekly closing prices for Nifty 50 + your stock (same dates, oldest at top). Beta auto-feeds WACC.</t>
  </si>
  <si>
    <t xml:space="preserve">Step 6</t>
  </si>
  <si>
    <t xml:space="preserve">🔑 Assumptions F</t>
  </si>
  <si>
    <t xml:space="preserve">Rf (India 10Y G-Sec), ERP (Damodaran India), Beta (auto from Beta Calc). WACC auto-calculated.</t>
  </si>
  <si>
    <t xml:space="preserve">Step 7</t>
  </si>
  <si>
    <t xml:space="preserve">💰 FCF &amp; Val</t>
  </si>
  <si>
    <t xml:space="preserve">Enter current market price (yellow). Intrinsic value per share, upside % and verdict auto-populate.</t>
  </si>
  <si>
    <t xml:space="preserve">  DATA SOURCES — WHERE TO GET EVERY NUMBER</t>
  </si>
  <si>
    <t xml:space="preserve">What You Need</t>
  </si>
  <si>
    <t xml:space="preserve">Source</t>
  </si>
  <si>
    <t xml:space="preserve">Exact Location / Instructions</t>
  </si>
  <si>
    <t xml:space="preserve">Historical P&amp;L (Sales, EBITDA, D&amp;A, Interest, PAT)</t>
  </si>
  <si>
    <t xml:space="preserve">Screener.in</t>
  </si>
  <si>
    <t xml:space="preserve">Company page → P&amp;L tab → Copy 5 years</t>
  </si>
  <si>
    <t xml:space="preserve">Historical Balance Sheet (Debt, Cash, Receivables, etc.)</t>
  </si>
  <si>
    <t xml:space="preserve">Company page → Balance Sheet tab → Expand rows</t>
  </si>
  <si>
    <t xml:space="preserve">Historical Cash Flow (CFO, Capex, FCF)</t>
  </si>
  <si>
    <t xml:space="preserve">Company page → Cash Flows tab</t>
  </si>
  <si>
    <t xml:space="preserve">Trade Payables + Advance from Customers (deferred rev)</t>
  </si>
  <si>
    <t xml:space="preserve">Balance Sheet → expand "Other Liabilities"</t>
  </si>
  <si>
    <t xml:space="preserve">Beta (3-year)</t>
  </si>
  <si>
    <t xml:space="preserve">Screener.in / Trendlyne</t>
  </si>
  <si>
    <t xml:space="preserve">Screener company page (shown directly) OR Trendlyne → Technicals</t>
  </si>
  <si>
    <t xml:space="preserve">Market Cap + Shares Outstanding (historical)</t>
  </si>
  <si>
    <t xml:space="preserve">CompaniesMarketCap.com</t>
  </si>
  <si>
    <t xml:space="preserve">Search company → Market Cap History → Annual data</t>
  </si>
  <si>
    <t xml:space="preserve">Revenue + EBITDA + Capex forecasts (next 2 FYs)</t>
  </si>
  <si>
    <t xml:space="preserve">Trendlyne Forecaster</t>
  </si>
  <si>
    <t xml:space="preserve">Company page → Forecaster tab → Estimates (Premium)</t>
  </si>
  <si>
    <t xml:space="preserve">Revenue + EBITDA forecasts (next 2 FYs) — alternative</t>
  </si>
  <si>
    <t xml:space="preserve">Market Screener</t>
  </si>
  <si>
    <t xml:space="preserve">Company → Financials → Estimates (Premium)</t>
  </si>
  <si>
    <t xml:space="preserve">Risk-Free Rate (10Y G-Sec yield)</t>
  </si>
  <si>
    <t xml:space="preserve">RBI / Investing.com</t>
  </si>
  <si>
    <t xml:space="preserve">investing.com → search "India 10 Year Bond Yield" → current yield</t>
  </si>
  <si>
    <t xml:space="preserve">Equity Risk Premium (India ERP)</t>
  </si>
  <si>
    <t xml:space="preserve">Damodaran (NYU)</t>
  </si>
  <si>
    <t xml:space="preserve">pages.stern.nyu.edu/~adamodar → Implied ERP → India</t>
  </si>
  <si>
    <t xml:space="preserve">Effective Tax Rate</t>
  </si>
  <si>
    <t xml:space="preserve">P&amp;L tab → Tax % row → use AVERAGE of last 3 years (IT: ~20-23%)</t>
  </si>
  <si>
    <t xml:space="preserve">Current Market Price (CMP)</t>
  </si>
  <si>
    <t xml:space="preserve">NSE / BSE / Google</t>
  </si>
  <si>
    <t xml:space="preserve">Search "[TICKER] share price" → current price</t>
  </si>
  <si>
    <t xml:space="preserve">HISTORICAL FINANCIALS — IT SERVICES  |  ₹ Crores  |  Upload to screener.in/excel/ → Export to Excel for any company → Dark green cells fill automatically</t>
  </si>
  <si>
    <t xml:space="preserve">🟢 DARK GREEN = auto from Data Sheet (Screener export)  |  🔵 LIGHT BLUE = manual entry (Screener BS/CF expand view)  |  🟡 YELLOW = manual input (Market Cap, WACC inputs, Trendlyne forecasts)</t>
  </si>
  <si>
    <t xml:space="preserve">  SECTION 1 — PROFIT &amp; LOSS  |  🟢 Dark Green = auto from Screener Data Sheet  |  🔵 Light Blue = manual from Screener expanded view</t>
  </si>
  <si>
    <t xml:space="preserve">Screener Label</t>
  </si>
  <si>
    <t xml:space="preserve">SOURCE → WHERE TO GET THIS DATA</t>
  </si>
  <si>
    <t xml:space="preserve">🟢 AUTO from Data Sheet row 17 (Sales). Screener fills this when you Export to Excel.</t>
  </si>
  <si>
    <t xml:space="preserve">Operating Profit (EBITDA)</t>
  </si>
  <si>
    <t xml:space="preserve">🟢 AUTO: EBITDA = PBT + D&amp;A + Interest − Other Income (all from Data Sheet). Cross-check: should match Screener Operating Profit.</t>
  </si>
  <si>
    <t xml:space="preserve">🟢 AUTO from Data Sheet row 25 (Other Income).</t>
  </si>
  <si>
    <t xml:space="preserve">🟢 AUTO from Data Sheet row 27 (Interest).</t>
  </si>
  <si>
    <t xml:space="preserve">Depreciation (D&amp;A)</t>
  </si>
  <si>
    <t xml:space="preserve">🟢 AUTO from Data Sheet row 26 (Depreciation).</t>
  </si>
  <si>
    <t xml:space="preserve">Profit Before Tax</t>
  </si>
  <si>
    <t xml:space="preserve">🟢 AUTO from Data Sheet row 28 (Profit Before Tax).</t>
  </si>
  <si>
    <t xml:space="preserve">Tax %  (effective)</t>
  </si>
  <si>
    <t xml:space="preserve">🟢 AUTO: Tax % = Data Sheet Tax Amount ÷ PBT. This is effective tax rate (what company actually paid). IT companies: typically 20-23% due to SEZ/STPI benefits.</t>
  </si>
  <si>
    <t xml:space="preserve">Tax Amount (₹ Cr)</t>
  </si>
  <si>
    <t xml:space="preserve">Effective Tax Rate %</t>
  </si>
  <si>
    <t xml:space="preserve">Net Profit</t>
  </si>
  <si>
    <t xml:space="preserve">🟢 AUTO from Data Sheet row 30 (Net Profit). Note: this is consolidated PAT. Small diff from PAT to equity due to minority interest.</t>
  </si>
  <si>
    <t xml:space="preserve">Minority Share</t>
  </si>
  <si>
    <t xml:space="preserve">🔵 MANUAL: Screener BS → expand Other Liabilities → Non-controlling interest. Enter as NEGATIVE if minority is profitable (reduces equity PAT).</t>
  </si>
  <si>
    <t xml:space="preserve">PAT to Equity</t>
  </si>
  <si>
    <t xml:space="preserve">EBIT (₹ Cr)</t>
  </si>
  <si>
    <t xml:space="preserve">→ Used in Assumptions B. IT range: 20-27%. TCS ~26%, Infosys ~23%, HCL ~20%.</t>
  </si>
  <si>
    <t xml:space="preserve">PAT to Equity Margin %</t>
  </si>
  <si>
    <t xml:space="preserve">Revenue Growth % YoY</t>
  </si>
  <si>
    <t xml:space="preserve">"-"</t>
  </si>
  <si>
    <t xml:space="preserve">→ Used in Assumptions B. IT avg growth: 8-15% for large caps.</t>
  </si>
  <si>
    <t xml:space="preserve">  SECTION 2 — BALANCE SHEET  |  🟢 Total BS items auto  |  🔵 Borrowings breakdown + Trade Payables = manual (Screener expand)</t>
  </si>
  <si>
    <t xml:space="preserve">    LIABILITIES</t>
  </si>
  <si>
    <t xml:space="preserve">Equity Capital</t>
  </si>
  <si>
    <t xml:space="preserve">🟢 AUTO from Data Sheet row 57 (Equity Share Capital).</t>
  </si>
  <si>
    <t xml:space="preserve">🟢 AUTO from Data Sheet row 58 (Reserves).</t>
  </si>
  <si>
    <t xml:space="preserve">Total Equity</t>
  </si>
  <si>
    <t xml:space="preserve">Borrowings (Total)</t>
  </si>
  <si>
    <t xml:space="preserve">🟢 AUTO from Data Sheet row 59 (Total Borrowings). For LT/ST/Lease breakdown below: manually enter from Screener BS expanded view.</t>
  </si>
  <si>
    <t xml:space="preserve">  Long-Term Borrowings</t>
  </si>
  <si>
    <t xml:space="preserve">🔵 MANUAL: Screener BS → expand Borrowings → Long Term Borrowings</t>
  </si>
  <si>
    <t xml:space="preserve">  Short-Term Borrowings</t>
  </si>
  <si>
    <t xml:space="preserve">🔵 MANUAL: Screener BS → expand Borrowings → Short Term Borrowings</t>
  </si>
  <si>
    <t xml:space="preserve">  Lease Liabilities</t>
  </si>
  <si>
    <t xml:space="preserve">🔵 MANUAL: Screener BS → expand Borrowings → Lease Liabilities (Ind AS 116)</t>
  </si>
  <si>
    <t xml:space="preserve">Non-Controlling Interest</t>
  </si>
  <si>
    <t xml:space="preserve">🔵 MANUAL: Screener BS → expand Other Liab → Non-controlling int. Not in Data Sheet.</t>
  </si>
  <si>
    <t xml:space="preserve">Trade Payables</t>
  </si>
  <si>
    <t xml:space="preserve">🔵 MANUAL: Screener BS → expand Other Liab → Trade Payables. Not in Data Sheet.</t>
  </si>
  <si>
    <t xml:space="preserve">Advance From Customers</t>
  </si>
  <si>
    <t xml:space="preserve">🔵 MANUAL: Screener BS → expand Other Liab → Advance from Customers / Deferred Revenue.</t>
  </si>
  <si>
    <t xml:space="preserve">Other Liability Items</t>
  </si>
  <si>
    <t xml:space="preserve">🔵 MANUAL: Screener BS → expand Other Liab → Other liability items. Not in Data Sheet.</t>
  </si>
  <si>
    <t xml:space="preserve">TOTAL LIABILITIES</t>
  </si>
  <si>
    <t xml:space="preserve">BS → 'Total Liabilities' — cross-check</t>
  </si>
  <si>
    <t xml:space="preserve">    ASSETS</t>
  </si>
  <si>
    <t xml:space="preserve">Fixed Assets (Net Block)</t>
  </si>
  <si>
    <t xml:space="preserve">🟢 AUTO from Data Sheet row 62 (Net Block).</t>
  </si>
  <si>
    <t xml:space="preserve">Capital WIP</t>
  </si>
  <si>
    <t xml:space="preserve">🟢 AUTO from Data Sheet row 63 (Capital Work in Progress).</t>
  </si>
  <si>
    <t xml:space="preserve">🟢 AUTO from Data Sheet row 64 (Investments).</t>
  </si>
  <si>
    <t xml:space="preserve">  Inventories</t>
  </si>
  <si>
    <t xml:space="preserve">🟢 AUTO from Data Sheet row 68 (Inventory). IT companies: should be ~0.</t>
  </si>
  <si>
    <t xml:space="preserve">  Trade Receivables</t>
  </si>
  <si>
    <t xml:space="preserve">🟢 AUTO from Data Sheet row 67 (Receivables). IT benchmark: 60-90 debtor days.</t>
  </si>
  <si>
    <t xml:space="preserve">  Cash &amp; Equivalents</t>
  </si>
  <si>
    <t xml:space="preserve">🟢 AUTO from Data Sheet row 69 (Cash &amp; Bank). ⚠ Note: Screener Cash may include some treasury investments. For precise split, check Annual Report.</t>
  </si>
  <si>
    <t xml:space="preserve">  Loans &amp; Advances</t>
  </si>
  <si>
    <t xml:space="preserve">🔵 MANUAL: Screener BS → expand Other Assets → Loans n Advances. Not separately available in Data Sheet.</t>
  </si>
  <si>
    <t xml:space="preserve">  Other Asset Items</t>
  </si>
  <si>
    <t xml:space="preserve">🔵 MANUAL: Screener BS → expand Other Assets → Other asset items. Not separately available in Data Sheet.</t>
  </si>
  <si>
    <t xml:space="preserve">TOTAL ASSETS</t>
  </si>
  <si>
    <t xml:space="preserve">BALANCE SHEET CHECK  (must = 0)</t>
  </si>
  <si>
    <t xml:space="preserve">Must be 0 (±5 Cr rounding ok)</t>
  </si>
  <si>
    <t xml:space="preserve">  SECTION 3 — CASH FLOW  |  🟢 CFO + CFI auto  |  🔵 Capex + WC Changes = manual (Screener CF expand)</t>
  </si>
  <si>
    <t xml:space="preserve">🟢 AUTO from Data Sheet row 82 (Cash from Operating Activity).</t>
  </si>
  <si>
    <t xml:space="preserve">  Working Capital Changes</t>
  </si>
  <si>
    <t xml:space="preserve">🔵 MANUAL: Screener CF → expand Operating → Working capital changes. Not separately in Data Sheet.</t>
  </si>
  <si>
    <t xml:space="preserve">🟢 AUTO from Data Sheet row 83 (Cash from Investing Activity).</t>
  </si>
  <si>
    <t xml:space="preserve">  Capex (Fixed Assets Purch.)</t>
  </si>
  <si>
    <t xml:space="preserve">🔵 MANUAL: Screener CF → expand Investing → Fixed assets purchased (enter as negative). Not separately in Data Sheet.</t>
  </si>
  <si>
    <t xml:space="preserve">Free Cash Flow  (Screener)</t>
  </si>
  <si>
    <t xml:space="preserve">CF → 'Free Cash Flow' — cross-check vs model</t>
  </si>
  <si>
    <t xml:space="preserve">  SECTION 4 — KEY METRICS  (feeds Assumptions WACC — do not skip)</t>
  </si>
  <si>
    <t xml:space="preserve">Total Debt (₹ Cr)</t>
  </si>
  <si>
    <t xml:space="preserve">Auto-linked from above</t>
  </si>
  <si>
    <t xml:space="preserve">Cash &amp; Equivalents</t>
  </si>
  <si>
    <t xml:space="preserve">Net Debt (₹ Cr)</t>
  </si>
  <si>
    <t xml:space="preserve">Total Debt - Cash &amp; Equivalents - Investments</t>
  </si>
  <si>
    <t xml:space="preserve">NWC (Net Working Capital)</t>
  </si>
  <si>
    <t xml:space="preserve">Operating NWC (trade cycle) = Trade Receivables + Inventories - Trade Payables - Advance from Customers. Excludes non-operating "Other" buckets that made the old ratio swing 5.5%-14.4%.</t>
  </si>
  <si>
    <t xml:space="preserve">Market Capitalisation (₹ Cr)</t>
  </si>
  <si>
    <t xml:space="preserve">🔵 MANUAL: CompaniesMarketCap.com → search company → Market Cap History → annual data. Data Sheet only has CURRENT market cap, not historical by year.</t>
  </si>
  <si>
    <t xml:space="preserve">Shares Outstanding (Crores)</t>
  </si>
  <si>
    <t xml:space="preserve">🟢 AUTO from Data Sheet row 70 (No. of Equity Shares) ÷ 10,000,000 to convert to Crores. Verify against CompaniesMarketCap.com for accuracy.</t>
  </si>
  <si>
    <t xml:space="preserve">Average Debt (₹ Cr)</t>
  </si>
  <si>
    <t xml:space="preserve">Interest Expense</t>
  </si>
  <si>
    <t xml:space="preserve">Average Interest Rate on debt%</t>
  </si>
  <si>
    <t xml:space="preserve">Capex (₹ Cr)</t>
  </si>
  <si>
    <t xml:space="preserve">FCF — Screener (cross-check)</t>
  </si>
  <si>
    <t xml:space="preserve">Compare with model FCF tab</t>
  </si>
  <si>
    <t xml:space="preserve">→ TREND formula in Assumptions uses this for FY2029+</t>
  </si>
  <si>
    <t xml:space="preserve">→ TREND function in Assumptions uses this for FY2029+. IT: D&amp;A rising due to Ind AS 116 leases.</t>
  </si>
  <si>
    <t xml:space="preserve">Capex / Revenue %</t>
  </si>
  <si>
    <t xml:space="preserve">Cross-check for capex assumptions</t>
  </si>
  <si>
    <t xml:space="preserve">EBIT Margin %</t>
  </si>
  <si>
    <t xml:space="preserve">→ D&amp;A% = EBITDA% − EBIT%. Derive FY2027-28 D&amp;A% from MS EBIT margin.</t>
  </si>
  <si>
    <t xml:space="preserve">NWC/Revenue %</t>
  </si>
  <si>
    <t xml:space="preserve">(Unbilled Revenue / Deferred Revenue section removed — WC modelled via NWC % of Revenue approach)</t>
  </si>
  <si>
    <t xml:space="preserve">ASSUMPTIONS — IT SERVICES DCF  |  Yellow = your input  |  Purple = auto-projected  |  Teal = IT-specific</t>
  </si>
  <si>
    <t xml:space="preserve">Col C = Hist Avg  |  Cols D-E = FY2027-28  [YELLOW — enter from Trendlyne Forecaster]  |  Cols F-K = FY2029-34  [PURPLE — auto-calculated]</t>
  </si>
  <si>
    <t xml:space="preserve">  A.  MODEL PARAMETERS</t>
  </si>
  <si>
    <t xml:space="preserve">Parameter</t>
  </si>
  <si>
    <t xml:space="preserve">Value</t>
  </si>
  <si>
    <t xml:space="preserve">Guidance</t>
  </si>
  <si>
    <t xml:space="preserve">e.g. Infosys, TCS, HCL Tech, Wipro, Tech Mahindra</t>
  </si>
  <si>
    <t xml:space="preserve">NSE Ticker</t>
  </si>
  <si>
    <t xml:space="preserve">e.g. INFY, TCS, HCLTECH, WIPRO, TECHM</t>
  </si>
  <si>
    <t xml:space="preserve">IT Sub-Sector</t>
  </si>
  <si>
    <t xml:space="preserve">Select: Pure-Play IT Services / IT+BPO / Product+Platform / Engineering Services / Diversified IT</t>
  </si>
  <si>
    <t xml:space="preserve">Currency / Units</t>
  </si>
  <si>
    <t xml:space="preserve">INR — ₹ Crores</t>
  </si>
  <si>
    <t xml:space="preserve">Last Historical FY</t>
  </si>
  <si>
    <t xml:space="preserve">e.g. FY2026</t>
  </si>
  <si>
    <t xml:space="preserve">MS Forecast Years</t>
  </si>
  <si>
    <t xml:space="preserve">FY2027, FY2028  (from Trendlyne Forecaster / Market Screener analyst consensus)</t>
  </si>
  <si>
    <t xml:space="preserve">Auto-Projected Years</t>
  </si>
  <si>
    <t xml:space="preserve">FY2029 – FY2034  (formula-driven)</t>
  </si>
  <si>
    <t xml:space="preserve">No. of Projection Years</t>
  </si>
  <si>
    <t xml:space="preserve">Fixed at 8 (2 analyst + 6 auto). Terminal Value captures FY2035→∞</t>
  </si>
  <si>
    <t xml:space="preserve">Terminal Growth Rate  g</t>
  </si>
  <si>
    <t xml:space="preserve">5–6% for India large-cap IT. Must be &lt; WACC. IT terminal g typically 5.5% (GDP-linked)</t>
  </si>
  <si>
    <t xml:space="preserve">Corporate Tax Rate</t>
  </si>
  <si>
    <t xml:space="preserve">IT-SPECIFIC: Use EFFECTIVE rate from Screener P&amp;L (3-yr avg). Indian IT: 20–23% (SEZ/STPI). Do NOT use 25.2%.</t>
  </si>
  <si>
    <t xml:space="preserve">Date of this valuation</t>
  </si>
  <si>
    <t xml:space="preserve">  B.  REVENUE &amp; MARGIN ASSUMPTIONS  |  Yellow = enter from MarketScreener  |  Purple = auto-projected formula</t>
  </si>
  <si>
    <t xml:space="preserve">Assumption</t>
  </si>
  <si>
    <t xml:space="preserve">Hist Avg</t>
  </si>
  <si>
    <t xml:space="preserve">FY2027E</t>
  </si>
  <si>
    <t xml:space="preserve">FY2028E</t>
  </si>
  <si>
    <t xml:space="preserve">FY2029E</t>
  </si>
  <si>
    <t xml:space="preserve">FY2030E</t>
  </si>
  <si>
    <t xml:space="preserve">FY2031E</t>
  </si>
  <si>
    <t xml:space="preserve">FY2032E</t>
  </si>
  <si>
    <t xml:space="preserve">FY2033E</t>
  </si>
  <si>
    <t xml:space="preserve">FY2034E</t>
  </si>
  <si>
    <t xml:space="preserve">Method / Note</t>
  </si>
  <si>
    <t xml:space="preserve">FY2027-28: Trendlyne Forecaster → Revenue Growth % estimate. IT large-cap: 8-15%. FY2029-34: Linear taper from FY2028 to terminal g.</t>
  </si>
  <si>
    <t xml:space="preserve">FY2027-28: Trendlyne EBITDA Margin estimate. IT benchmarks: TCS ~27%, Infosys ~24%, HCL ~20%. FY2029-34: TREND function extrapolation.</t>
  </si>
  <si>
    <t xml:space="preserve">IT-SPECIFIC: D&amp;A trending UP (Ind AS 116 leases). FY2027-28: derive as (EBITDA% - EBIT%) from Trendlyne. FY2029-34: TREND extrapolation.</t>
  </si>
  <si>
    <t xml:space="preserve">EBIT Margin %  (formula — auto)</t>
  </si>
  <si>
    <t xml:space="preserve">Auto-calculated: EBITDA Margin% − D&amp;A%. Do not edit.</t>
  </si>
  <si>
    <t xml:space="preserve">  C.  CAPEX ASSUMPTIONS — IT-SPECIFIC  |  Enter as % of Revenue (not ₹ Cr)  |  FY2029+ held flat</t>
  </si>
  <si>
    <t xml:space="preserve">Capex / Revenue %  ← ENTER THIS</t>
  </si>
  <si>
    <t xml:space="preserve">IT-SPECIFIC DRIVER. Enter Capex as % of Revenue. FY2029-34: held flat at FY2028 rate. Benchmarks: TCS 1.5%, Infosys 2%, HCL 2.5%. Source: Trendlyne capex ÷ revenue estimate.</t>
  </si>
  <si>
    <t xml:space="preserve">Total Capex (₹ Cr)  ← auto-derived</t>
  </si>
  <si>
    <t xml:space="preserve">Auto-derived: Capex% × Projected Revenue. Do not edit directly.</t>
  </si>
  <si>
    <t xml:space="preserve">  D.  WORKING CAPITAL — NWC % OF REVENUE  |  NWC = NWC% × Revenue  |  ΔWC = Year N − Year N-1  |  NWC% scales revenue growth automatically</t>
  </si>
  <si>
    <t xml:space="preserve">Metric</t>
  </si>
  <si>
    <t xml:space="preserve">Hist 5Y Avg</t>
  </si>
  <si>
    <t xml:space="preserve">Source / Notes</t>
  </si>
  <si>
    <t xml:space="preserve">Historical simple aveage of NWC % of Revenue</t>
  </si>
  <si>
    <t xml:space="preserve">Auto from Hist Data. NWC = (Trade Rec + Inventories + Other CA) − (Trade Payables + Advance from Customers + Other CL). Watch the trend — declining NWC% = improving cash efficiency.</t>
  </si>
  <si>
    <t xml:space="preserve">⭐ Projected NWC %  (Weighted Average)</t>
  </si>
  <si>
    <t xml:space="preserve">FY2027-28: Enter from Trendlyne WC data OR keep at hist avg. FY2029+: AUTO — flat at FY2028 level. How to get NWC%: Screener.in → company page → scroll to "Working Capital" in ratios box → divide by Sales for that year. HCL hist avg ~9.7%, 3Y avg ~7%. WSS model uses 9.55%.</t>
  </si>
  <si>
    <t xml:space="preserve">Historical Years(N ----&gt; Most recent year)</t>
  </si>
  <si>
    <t xml:space="preserve">FY_N-4</t>
  </si>
  <si>
    <t xml:space="preserve">FY_N-3</t>
  </si>
  <si>
    <t xml:space="preserve">FY_N-2</t>
  </si>
  <si>
    <t xml:space="preserve">FY_N-1</t>
  </si>
  <si>
    <t xml:space="preserve">FY_N</t>
  </si>
  <si>
    <t xml:space="preserve">Weights</t>
  </si>
  <si>
    <t xml:space="preserve">Note:   Default: 1,2,3,4,5 — increase FY_N weight to give more emphasis to most recent year</t>
  </si>
  <si>
    <t xml:space="preserve">  F.  WACC — 4 Steps  |  Ke = Rf + β×ERP  |  Kd = IntExp÷AvgDebt×(1-t)  |  WACC = Ke×E% + Kd×D%</t>
  </si>
  <si>
    <t xml:space="preserve">Component</t>
  </si>
  <si>
    <t xml:space="preserve">Formula / Source</t>
  </si>
  <si>
    <t xml:space="preserve">── STEP 1: COST OF EQUITY  Ke = Rf + β × ERP ──</t>
  </si>
  <si>
    <t xml:space="preserve">Risk-Free Rate  Rf  (%)</t>
  </si>
  <si>
    <t xml:space="preserve">10Y G-Sec yield. Source: investing.com → search "India 10 Year Bond Yield" → current yield. OR RBI website → Government Securities. Current (May 2026): ~7.0-7.1%.</t>
  </si>
  <si>
    <t xml:space="preserve">Equity Risk Premium  ERP  (%)</t>
  </si>
  <si>
    <t xml:space="preserve">Damodaran India ERP. Source: pages.stern.nyu.edu/~adamodar → click "Implied ERP" → India row. Updated monthly. Current India ERP: ~7.0-7.5%.</t>
  </si>
  <si>
    <t xml:space="preserve">Beta — Current  (β)</t>
  </si>
  <si>
    <t xml:space="preserve">Auto-linked from Beta Calc tab. SLOPE(stock weekly returns, Nifty50 returns) over 3Y. IT large-cap: TCS ~0.7, Infosys ~0.8, HCL ~0.9, Wipro ~0.9.</t>
  </si>
  <si>
    <t xml:space="preserve">Beta — At Maturity  (β_m)</t>
  </si>
  <si>
    <t xml:space="preserve">Stable-state beta. IT large-cap: 0.8–1.0 (defensive growth). Mid-cap IT: 0.9–1.1. Use 1.0 if uncertain. Conservative for IT.</t>
  </si>
  <si>
    <t xml:space="preserve">Cost of Equity — Current  Ke</t>
  </si>
  <si>
    <t xml:space="preserve">Cost of Equity — Maturity  Ke_m</t>
  </si>
  <si>
    <t xml:space="preserve">── STEP 2: COST OF DEBT  Kd = IntExp ÷ AvgDebt × (1−t) ──</t>
  </si>
  <si>
    <t xml:space="preserve">Interest Expense  (₹ Cr)</t>
  </si>
  <si>
    <t xml:space="preserve">Auto-linked from Hist Data → last year Interest Expense</t>
  </si>
  <si>
    <t xml:space="preserve">Average Debt  (₹ Cr)</t>
  </si>
  <si>
    <t xml:space="preserve">Auto-linked from Hist Data → last year Average Debt</t>
  </si>
  <si>
    <t xml:space="preserve">Pre-Tax Cost of Debt  Kd_pre</t>
  </si>
  <si>
    <t xml:space="preserve">Post-Tax Cost of Debt  Kd</t>
  </si>
  <si>
    <t xml:space="preserve">── STEP 3: CAPITAL STRUCTURE  E/(D+E) and D/(D+E) ──</t>
  </si>
  <si>
    <t xml:space="preserve">Market Capitalisation  (₹ Cr)</t>
  </si>
  <si>
    <t xml:space="preserve">Auto-linked from Hist Data → latest year Market Cap. Source: CompaniesMarketCap.com</t>
  </si>
  <si>
    <t xml:space="preserve">Total Debt  (₹ Cr)</t>
  </si>
  <si>
    <t xml:space="preserve">Auto-linked from Hist Data → latest year Total Debt</t>
  </si>
  <si>
    <t xml:space="preserve">Equity Weight  E/(D+E)  %</t>
  </si>
  <si>
    <t xml:space="preserve">Debt Weight  D/(D+E)  %</t>
  </si>
  <si>
    <t xml:space="preserve">── STEP 4: WACC ──</t>
  </si>
  <si>
    <t xml:space="preserve">WACC — High Growth Phase  %</t>
  </si>
  <si>
    <t xml:space="preserve">WACC — Terminal Phase  %</t>
  </si>
  <si>
    <t xml:space="preserve">WACC − g  (must be &gt; 0)</t>
  </si>
  <si>
    <t xml:space="preserve">  G.  OTHER INCOME (TREASURY) — IT-SPECIFIC  |  Model as Cash × Yield%, not flat carry-forward</t>
  </si>
  <si>
    <t xml:space="preserve">Treasury Yield Assumption %</t>
  </si>
  <si>
    <t xml:space="preserve">Assumed return on cash pile. Use ~6.5% (liquid fund / FD blend). Source: SBI FD rates ~7% or NIFTY Liquid Fund ~6.5%.</t>
  </si>
  <si>
    <t xml:space="preserve">Other Income Method</t>
  </si>
  <si>
    <t xml:space="preserve">Cash × Yield %</t>
  </si>
  <si>
    <t xml:space="preserve">Projected Other Income = Prior Year Net Cash Balance × Treasury Yield %. As FCF accumulates, cash grows → Other Income grows automatically.</t>
  </si>
  <si>
    <t xml:space="preserve">  H.  VALUATION BRIDGE INPUTS  (latest year balance sheet items)</t>
  </si>
  <si>
    <t xml:space="preserve">Input</t>
  </si>
  <si>
    <t xml:space="preserve">Auto: Hist Data → Total Debt last year</t>
  </si>
  <si>
    <t xml:space="preserve">Cash &amp; Equivalents (₹ Cr)</t>
  </si>
  <si>
    <t xml:space="preserve">Auto: Hist Data → Cash last year</t>
  </si>
  <si>
    <t xml:space="preserve">Investments (non-operating) (₹ Cr)</t>
  </si>
  <si>
    <t xml:space="preserve">Manual: Screener BS → 'Investments' row, last year. Non-operating investments only.</t>
  </si>
  <si>
    <t xml:space="preserve">Non-Controlling Interest (₹ Cr)</t>
  </si>
  <si>
    <t xml:space="preserve">Auto: Hist Data → NCI last year</t>
  </si>
  <si>
    <t xml:space="preserve">Auto: Hist Data → Shares last year. Source: CompaniesMarketCap.com</t>
  </si>
  <si>
    <t xml:space="preserve">Current Market Price (₹/share)</t>
  </si>
  <si>
    <t xml:space="preserve">⚠ Manual: today's CMP from NSE/BSE/Google. Update every valuation.</t>
  </si>
  <si>
    <t xml:space="preserve">Net Cash / (Net Debt)  [+ = IT is net cash]</t>
  </si>
  <si>
    <t xml:space="preserve">If POSITIVE → company is net cash (typical for TCS, Infosys). Equity Value &gt; Enterprise Value. If negative → net debt.</t>
  </si>
  <si>
    <t xml:space="preserve">PROJECTED FINANCIALS — IT SERVICES  (₹ Crores)  |  All formulas — do not edit</t>
  </si>
  <si>
    <t xml:space="preserve">Col C = FY2026 actual (linked from Hist Data).  Cols D-E = FY2027-28 (formula from yellow assumptions).  Cols F-K = FY2029-34 (purple auto-formula).  All cells are formulas — do not type here.</t>
  </si>
  <si>
    <t xml:space="preserve">  PROJECTED P&amp;L</t>
  </si>
  <si>
    <t xml:space="preserve">Line Item</t>
  </si>
  <si>
    <t xml:space="preserve">FY2026A</t>
  </si>
  <si>
    <t xml:space="preserve">Net Revenue (₹ Cr)</t>
  </si>
  <si>
    <t xml:space="preserve">  Revenue Growth %</t>
  </si>
  <si>
    <t xml:space="preserve">EBITDA (₹ Cr)</t>
  </si>
  <si>
    <t xml:space="preserve">  EBITDA Margin %</t>
  </si>
  <si>
    <t xml:space="preserve">Depreciation &amp; Amortisation (₹ Cr)</t>
  </si>
  <si>
    <t xml:space="preserve">  EBIT Margin %</t>
  </si>
  <si>
    <t xml:space="preserve">Interest Expense (₹ Cr)</t>
  </si>
  <si>
    <t xml:space="preserve">Other Income (₹ Cr)</t>
  </si>
  <si>
    <t xml:space="preserve">⚠ IT NOTE: If company has large cash pile (&gt;₹10,000 Cr), consider modelling as: Cash Balance × Treasury Yield (Assumptions G). Currently carries forward historical Other Income with growth.</t>
  </si>
  <si>
    <t xml:space="preserve">PBT (₹ Cr)</t>
  </si>
  <si>
    <t xml:space="preserve">Tax Expense (₹ Cr)</t>
  </si>
  <si>
    <t xml:space="preserve">  Effective Tax Rate %</t>
  </si>
  <si>
    <t xml:space="preserve">PAT (₹ Cr)</t>
  </si>
  <si>
    <t xml:space="preserve">Minority Interest (₹ Cr)</t>
  </si>
  <si>
    <t xml:space="preserve">PAT to Equity (₹ Cr)</t>
  </si>
  <si>
    <t xml:space="preserve">  WORKING CAPITAL SCHEDULE  |  NWC = NWC% × Revenue  |  ΔWC feeds FCFF directly</t>
  </si>
  <si>
    <t xml:space="preserve">Net Revenue (₹ Cr)  [linked from P&amp;L above]</t>
  </si>
  <si>
    <t xml:space="preserve">NWC % of Revenue  [from Assumptions D]</t>
  </si>
  <si>
    <t xml:space="preserve">⭐ Net Working Capital  (₹ Cr)  =  NWC% × Revenue</t>
  </si>
  <si>
    <t xml:space="preserve">⭐ ΔWC — Change in Working Capital  (₹ Cr)  |  feeds FCFF</t>
  </si>
  <si>
    <t xml:space="preserve">→ This row feeds directly into FCF &amp; Val Part 1 row 10. With NWC% flat, ΔWC ≈ NWC% × Revenue Growth. For HCL at 9.7% NWC% growing 7%/yr: ΔWC ≈ ~960 Cr/yr initially.</t>
  </si>
  <si>
    <t xml:space="preserve">FREE CASH FLOW TO FIRM  +  DCF VALUATION — IT SERVICES  (₹ Crores)</t>
  </si>
  <si>
    <t xml:space="preserve">  PART 1 — FCFF = NOPAT + D&amp;A − Capex − ΔWC</t>
  </si>
  <si>
    <t xml:space="preserve">Tax on EBIT  (EBIT × Tax Rate)</t>
  </si>
  <si>
    <t xml:space="preserve">NOPAT — Net Operating Profit After Tax</t>
  </si>
  <si>
    <t xml:space="preserve">+ Depreciation &amp; Amortisation</t>
  </si>
  <si>
    <t xml:space="preserve">− Total Capex</t>
  </si>
  <si>
    <t xml:space="preserve">− ΔWC  (Change in Working Capital)  |  + ΔWC = cash used; − ΔWC = cash released</t>
  </si>
  <si>
    <t xml:space="preserve">FREE CASH FLOW TO FIRM (FCFF)</t>
  </si>
  <si>
    <t xml:space="preserve">FCFF Growth %</t>
  </si>
  <si>
    <t xml:space="preserve">  PART 2 — DISCOUNTING  PV = FCFF ÷ (1+WACC)^n</t>
  </si>
  <si>
    <t xml:space="preserve">Year Number</t>
  </si>
  <si>
    <t xml:space="preserve">WACC — High Growth %</t>
  </si>
  <si>
    <t xml:space="preserve">Discount Factor  1÷(1+WACC)^n</t>
  </si>
  <si>
    <t xml:space="preserve">Present Value of FCFF (₹ Cr)</t>
  </si>
  <si>
    <t xml:space="preserve">  PART 3 — TERMINAL VALUE  TV = FCFF(N+1) ÷ (WACC_tv − g)  |  Captures FY2035 → ∞</t>
  </si>
  <si>
    <t xml:space="preserve">FCFF in Terminal Year (FY2034)  (₹ Cr)</t>
  </si>
  <si>
    <t xml:space="preserve">Terminal Growth Rate  g  (%)</t>
  </si>
  <si>
    <t xml:space="preserve">WACC — Terminal Phase  (%)</t>
  </si>
  <si>
    <t xml:space="preserve">FCFF Year N+1  (FY2035)  (₹ Cr)</t>
  </si>
  <si>
    <t xml:space="preserve">TERMINAL VALUE  (₹ Cr)  —  FY2035→∞</t>
  </si>
  <si>
    <t xml:space="preserve">Discount Factor  (Year 8)</t>
  </si>
  <si>
    <t xml:space="preserve">PV of Terminal Value  (₹ Cr)</t>
  </si>
  <si>
    <t xml:space="preserve">⚠ IT NOTE: Most large IT companies are NET CASH (Cash &gt; Debt). If Net Debt (Debt - Cash) is NEGATIVE, the equity bridge ADDS net cash to EV. Check: if Total Debt &lt; Cash &amp; Equivalents, your Equity Value &gt; Enterprise Value. This is correct.</t>
  </si>
  <si>
    <t xml:space="preserve">  PART 4 — ENTERPRISE VALUE → EQUITY VALUE BRIDGE</t>
  </si>
  <si>
    <t xml:space="preserve">Sum of PV of FCFs  (₹ Cr)</t>
  </si>
  <si>
    <t xml:space="preserve">ENTERPRISE VALUE  (₹ Cr)</t>
  </si>
  <si>
    <t xml:space="preserve">Net Cash / (Net Debt)  [+ = net cash, − = net debt]</t>
  </si>
  <si>
    <t xml:space="preserve">Less: Total Debt  (₹ Cr)</t>
  </si>
  <si>
    <t xml:space="preserve">Less: Non-Controlling Interest  (₹ Cr)</t>
  </si>
  <si>
    <t xml:space="preserve">Add: Cash &amp; Equivalents  (₹ Cr)</t>
  </si>
  <si>
    <t xml:space="preserve">Add: Investments  (₹ Cr)</t>
  </si>
  <si>
    <t xml:space="preserve">DCF VALUE OF EQUITY  (₹ Cr)</t>
  </si>
  <si>
    <t xml:space="preserve">Shares Outstanding  (Crores)</t>
  </si>
  <si>
    <t xml:space="preserve">INTRINSIC VALUE PER SHARE  (₹)</t>
  </si>
  <si>
    <t xml:space="preserve">Current Market Price  (₹)</t>
  </si>
  <si>
    <t xml:space="preserve">Upside / (Downside)  %</t>
  </si>
  <si>
    <t xml:space="preserve">Verdict</t>
  </si>
  <si>
    <t xml:space="preserve">SENSITIVITY ANALYSIS — IT SERVICES  |  Intrinsic Value Per Share  (₹)</t>
  </si>
  <si>
    <t xml:space="preserve">Terminal Growth rate(col)</t>
  </si>
  <si>
    <t xml:space="preserve">Wacc(row)</t>
  </si>
  <si>
    <t xml:space="preserve">  TABLE — WACC (rows) vs Terminal Growth g (cols)  |  Auto-calculated  |  Green = IV &gt; CMP</t>
  </si>
  <si>
    <t xml:space="preserve">IT SECTOR WACC BENCHMARKS: Large-cap (TCS/Infy): 11–13%  |  Mid-cap IT: 13–15%  |  Small-cap IT: 15–17%</t>
  </si>
  <si>
    <t xml:space="preserve">TERMINAL GROWTH BENCHMARKS: Conservative: 5.0%  |  Base: 5.5%  |  Bullish: 6.0%  |  Note: India nominal GDP growth ~6.5-7%</t>
  </si>
  <si>
    <t xml:space="preserve">These cells now auto-populate via direct formulas (no Excel Data Table needed). Each cell re-discounts the fixed FCFF stream at its row WACC and rebuilds the terminal value at its (WACC, g). Green = intrinsic value above current market price.</t>
  </si>
  <si>
    <t xml:space="preserve">BETA CALCULATION — 3-Year Weekly Price Data  |  IT Sector</t>
  </si>
  <si>
    <t xml:space="preserve">  BETA OUTPUT</t>
  </si>
  <si>
    <t xml:space="preserve">Note</t>
  </si>
  <si>
    <t xml:space="preserve">Calculated Beta  (Raw)</t>
  </si>
  <si>
    <t xml:space="preserve">SLOPE(stock weekly returns, Nifty50 weekly returns). IT large-cap benchmarks: TCS ~0.7, Infosys ~0.8, HCL ~0.9, Wipro ~0.9, Tech M ~1.0. If Beta &gt; 1.2 for large-cap IT, check your data.</t>
  </si>
  <si>
    <t xml:space="preserve">Beta Used in Model</t>
  </si>
  <si>
    <t xml:space="preserve">This cell links to Assumptions Section F. Verify before finalising.</t>
  </si>
  <si>
    <t xml:space="preserve">Data Points (weeks)</t>
  </si>
  <si>
    <t xml:space="preserve">Should be ~156 (3Y × 52W). Less = incomplete data.</t>
  </si>
  <si>
    <t xml:space="preserve">R-squared</t>
  </si>
  <si>
    <t xml:space="preserve">R² &gt; 0.3 typical for liquid large-caps.</t>
  </si>
  <si>
    <t xml:space="preserve">📌 Steps: (1) Trendlyne.com → Company → Charts → Download weekly prices (3Y) → paste Closing Price → Col C  OR  investing.com → Nifty 50 → Historical → Weekly → 3 years → Download → paste Price col → Col C  |  (2) Same for your IT stock → Col D  |  (3) Same date range, same row count, oldest date at TOP  |  ⚠ IT stocks: expect Beta 0.6–1.0 for large-cap, 0.8–1.2 for mid-cap</t>
  </si>
  <si>
    <t xml:space="preserve">Date</t>
  </si>
  <si>
    <t xml:space="preserve">Nifty50 Price</t>
  </si>
  <si>
    <t xml:space="preserve">Stock Price</t>
  </si>
  <si>
    <t xml:space="preserve">Nifty50 Weekly Ret</t>
  </si>
  <si>
    <t xml:space="preserve">Stock Weekly Return</t>
  </si>
  <si>
    <t xml:space="preserve">05/24/2026</t>
  </si>
  <si>
    <t xml:space="preserve">05/17/2026</t>
  </si>
  <si>
    <t xml:space="preserve">04/26/2026</t>
  </si>
  <si>
    <t xml:space="preserve">04/19/2026</t>
  </si>
  <si>
    <t xml:space="preserve">03/29/2026</t>
  </si>
  <si>
    <t xml:space="preserve">03/22/2026</t>
  </si>
  <si>
    <t xml:space="preserve">03/15/2026</t>
  </si>
  <si>
    <t xml:space="preserve">02/22/2026</t>
  </si>
  <si>
    <t xml:space="preserve">02/15/2026</t>
  </si>
  <si>
    <t xml:space="preserve">01/25/2026</t>
  </si>
  <si>
    <t xml:space="preserve">01/18/2026</t>
  </si>
  <si>
    <t xml:space="preserve">12/28/2025</t>
  </si>
  <si>
    <t xml:space="preserve">12/21/2025</t>
  </si>
  <si>
    <t xml:space="preserve">12/14/2025</t>
  </si>
  <si>
    <t xml:space="preserve">11/30/2025</t>
  </si>
  <si>
    <t xml:space="preserve">11/23/2025</t>
  </si>
  <si>
    <t xml:space="preserve">11/16/2025</t>
  </si>
  <si>
    <t xml:space="preserve">10/26/2025</t>
  </si>
  <si>
    <t xml:space="preserve">10/19/2025</t>
  </si>
  <si>
    <t xml:space="preserve">09/28/2025</t>
  </si>
  <si>
    <t xml:space="preserve">09/21/2025</t>
  </si>
  <si>
    <t xml:space="preserve">09/14/2025</t>
  </si>
  <si>
    <t xml:space="preserve">08/31/2025</t>
  </si>
  <si>
    <t xml:space="preserve">08/24/2025</t>
  </si>
  <si>
    <t xml:space="preserve">08/17/2025</t>
  </si>
  <si>
    <t xml:space="preserve">07/27/2025</t>
  </si>
  <si>
    <t xml:space="preserve">07/20/2025</t>
  </si>
  <si>
    <t xml:space="preserve">07/13/2025</t>
  </si>
  <si>
    <t xml:space="preserve">06/29/2025</t>
  </si>
  <si>
    <t xml:space="preserve">06/22/2025</t>
  </si>
  <si>
    <t xml:space="preserve">06/15/2025</t>
  </si>
  <si>
    <t xml:space="preserve">05/25/2025</t>
  </si>
  <si>
    <t xml:space="preserve">05/18/2025</t>
  </si>
  <si>
    <t xml:space="preserve">04/27/2025</t>
  </si>
  <si>
    <t xml:space="preserve">04/20/2025</t>
  </si>
  <si>
    <t xml:space="preserve">04/13/2025</t>
  </si>
  <si>
    <t xml:space="preserve">03/30/2025</t>
  </si>
  <si>
    <t xml:space="preserve">03/23/2025</t>
  </si>
  <si>
    <t xml:space="preserve">03/16/2025</t>
  </si>
  <si>
    <t xml:space="preserve">02/23/2025</t>
  </si>
  <si>
    <t xml:space="preserve">02/16/2025</t>
  </si>
  <si>
    <t xml:space="preserve">01/26/2025</t>
  </si>
  <si>
    <t xml:space="preserve">01/19/2025</t>
  </si>
  <si>
    <t xml:space="preserve">12/29/2024</t>
  </si>
  <si>
    <t xml:space="preserve">12/22/2024</t>
  </si>
  <si>
    <t xml:space="preserve">12/15/2024</t>
  </si>
  <si>
    <t xml:space="preserve">11/24/2024</t>
  </si>
  <si>
    <t xml:space="preserve">11/17/2024</t>
  </si>
  <si>
    <t xml:space="preserve">10/27/2024</t>
  </si>
  <si>
    <t xml:space="preserve">10/20/2024</t>
  </si>
  <si>
    <t xml:space="preserve">10/13/2024</t>
  </si>
  <si>
    <t xml:space="preserve">09/29/2024</t>
  </si>
  <si>
    <t xml:space="preserve">09/22/2024</t>
  </si>
  <si>
    <t xml:space="preserve">09/15/2024</t>
  </si>
  <si>
    <t xml:space="preserve">08/25/2024</t>
  </si>
  <si>
    <t xml:space="preserve">08/18/2024</t>
  </si>
  <si>
    <t xml:space="preserve">07/28/2024</t>
  </si>
  <si>
    <t xml:space="preserve">07/21/2024</t>
  </si>
  <si>
    <t xml:space="preserve">07/14/2024</t>
  </si>
  <si>
    <t xml:space="preserve">06/30/2024</t>
  </si>
  <si>
    <t xml:space="preserve">06/23/2024</t>
  </si>
  <si>
    <t xml:space="preserve">06/16/2024</t>
  </si>
  <si>
    <t xml:space="preserve">05/26/2024</t>
  </si>
  <si>
    <t xml:space="preserve">05/19/2024</t>
  </si>
  <si>
    <t xml:space="preserve">04/28/2024</t>
  </si>
  <si>
    <t xml:space="preserve">04/21/2024</t>
  </si>
  <si>
    <t xml:space="preserve">04/14/2024</t>
  </si>
  <si>
    <t xml:space="preserve">03/31/2024</t>
  </si>
  <si>
    <t xml:space="preserve">03/24/2024</t>
  </si>
  <si>
    <t xml:space="preserve">03/17/2024</t>
  </si>
  <si>
    <t xml:space="preserve">02/25/2024</t>
  </si>
  <si>
    <t xml:space="preserve">02/18/2024</t>
  </si>
  <si>
    <t xml:space="preserve">01/28/2024</t>
  </si>
  <si>
    <t xml:space="preserve">01/21/2024</t>
  </si>
  <si>
    <t xml:space="preserve">01/14/2024</t>
  </si>
  <si>
    <t xml:space="preserve">12/31/2023</t>
  </si>
  <si>
    <t xml:space="preserve">12/24/2023</t>
  </si>
  <si>
    <t xml:space="preserve">12/17/2023</t>
  </si>
  <si>
    <t xml:space="preserve">11/26/2023</t>
  </si>
  <si>
    <t xml:space="preserve">11/19/2023</t>
  </si>
  <si>
    <t xml:space="preserve">10/29/2023</t>
  </si>
  <si>
    <t xml:space="preserve">10/22/2023</t>
  </si>
  <si>
    <t xml:space="preserve">10/15/2023</t>
  </si>
  <si>
    <t xml:space="preserve">09/24/2023</t>
  </si>
  <si>
    <t xml:space="preserve">09/17/2023</t>
  </si>
  <si>
    <t xml:space="preserve">08/27/2023</t>
  </si>
  <si>
    <t xml:space="preserve">08/20/2023</t>
  </si>
  <si>
    <t xml:space="preserve">08/13/2023</t>
  </si>
  <si>
    <t xml:space="preserve">07/30/2023</t>
  </si>
  <si>
    <t xml:space="preserve">07/23/2023</t>
  </si>
  <si>
    <t xml:space="preserve">07/16/2023</t>
  </si>
  <si>
    <t xml:space="preserve">06/25/2023</t>
  </si>
  <si>
    <t xml:space="preserve">06/18/2023</t>
  </si>
  <si>
    <t xml:space="preserve">05/28/2023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</si>
</sst>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mmm\-yy"/>
    <numFmt numFmtId="166" formatCode="#,##0;\(#,##0\);\-"/>
    <numFmt numFmtId="167" formatCode="0.0%"/>
    <numFmt numFmtId="168" formatCode="0.0%;\-0.0%;\-"/>
    <numFmt numFmtId="169" formatCode="#,##0"/>
    <numFmt numFmtId="170" formatCode="0.00"/>
    <numFmt numFmtId="171" formatCode="0%"/>
    <numFmt numFmtId="172" formatCode="0.0"/>
    <numFmt numFmtId="173" formatCode="m/d/yyyy"/>
    <numFmt numFmtId="174" formatCode="#,##0.0000;\(#,##0.0000\);\-"/>
    <numFmt numFmtId="175" formatCode="\₹#,##0.00"/>
    <numFmt numFmtId="176" formatCode="General"/>
    <numFmt numFmtId="177" formatCode="0.00%"/>
    <numFmt numFmtId="178" formatCode="\₹#,##0"/>
    <numFmt numFmtId="179" formatCode="0"/>
    <numFmt numFmtId="180" formatCode="0.00%;\-0.00%;\-"/>
    <numFmt numFmtId="181" formatCode="#,##0.00"/>
  </numFmts>
  <fonts count="5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3"/>
      <color rgb="FF1F3864"/>
      <name val="Arial"/>
      <family val="2"/>
      <charset val="1"/>
    </font>
    <font>
      <sz val="10"/>
      <color rgb="FF2E5797"/>
      <name val="Arial"/>
      <family val="2"/>
      <charset val="1"/>
    </font>
    <font>
      <b val="true"/>
      <sz val="10"/>
      <color rgb="FFFFFFFF"/>
      <name val="Arial"/>
      <family val="2"/>
      <charset val="1"/>
    </font>
    <font>
      <b val="true"/>
      <sz val="9"/>
      <color rgb="FF1F3864"/>
      <name val="Arial"/>
      <family val="2"/>
      <charset val="1"/>
    </font>
    <font>
      <sz val="9"/>
      <color rgb="FF0000FF"/>
      <name val="Arial"/>
      <family val="2"/>
      <charset val="1"/>
    </font>
    <font>
      <sz val="9"/>
      <color rgb="FF4B0082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006100"/>
      <name val="Arial"/>
      <family val="2"/>
      <charset val="1"/>
    </font>
    <font>
      <sz val="9"/>
      <color rgb="FFFF0000"/>
      <name val="Arial"/>
      <family val="2"/>
      <charset val="1"/>
    </font>
    <font>
      <sz val="10"/>
      <color rgb="FF0000FF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9"/>
      <color rgb="FFFFFFFF"/>
      <name val="Arial"/>
      <family val="2"/>
      <charset val="1"/>
    </font>
    <font>
      <sz val="9"/>
      <color rgb="FF1F3864"/>
      <name val="Arial"/>
      <family val="2"/>
      <charset val="1"/>
    </font>
    <font>
      <b val="true"/>
      <sz val="9"/>
      <color rgb="FF1A6B72"/>
      <name val="Arial"/>
      <family val="2"/>
      <charset val="1"/>
    </font>
    <font>
      <sz val="9"/>
      <color rgb="FF595959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1"/>
      <color rgb="FFFFFFFF"/>
      <name val="Arial"/>
      <family val="2"/>
      <charset val="1"/>
    </font>
    <font>
      <b val="true"/>
      <sz val="9"/>
      <color rgb="FF8B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sz val="10"/>
      <color theme="6" tint="-0.5"/>
      <name val="Arial"/>
      <family val="2"/>
      <charset val="1"/>
    </font>
    <font>
      <i val="true"/>
      <sz val="10"/>
      <color rgb="FF595959"/>
      <name val="Arial"/>
      <family val="2"/>
      <charset val="1"/>
    </font>
    <font>
      <sz val="10"/>
      <color rgb="FF006100"/>
      <name val="Arial"/>
      <family val="2"/>
      <charset val="1"/>
    </font>
    <font>
      <sz val="10"/>
      <color rgb="FF375623"/>
      <name val="Arial"/>
      <family val="2"/>
      <charset val="1"/>
    </font>
    <font>
      <sz val="10"/>
      <color rgb="FF22222F"/>
      <name val="Arial"/>
      <family val="2"/>
      <charset val="1"/>
    </font>
    <font>
      <sz val="10"/>
      <color rgb="FF595959"/>
      <name val="Arial"/>
      <family val="2"/>
      <charset val="1"/>
    </font>
    <font>
      <sz val="11"/>
      <color rgb="FF22222F"/>
      <name val="Arial"/>
      <family val="2"/>
      <charset val="1"/>
    </font>
    <font>
      <b val="true"/>
      <sz val="10"/>
      <color theme="6" tint="-0.5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0"/>
      <color rgb="FF8B0000"/>
      <name val="Arial"/>
      <family val="2"/>
      <charset val="1"/>
    </font>
    <font>
      <i val="true"/>
      <sz val="9"/>
      <color rgb="FF595959"/>
      <name val="Arial"/>
      <family val="2"/>
      <charset val="1"/>
    </font>
    <font>
      <sz val="10"/>
      <name val="Arial"/>
      <family val="2"/>
    </font>
    <font>
      <b val="true"/>
      <sz val="10"/>
      <color rgb="FF1A6B72"/>
      <name val="Arial"/>
      <family val="2"/>
      <charset val="1"/>
    </font>
    <font>
      <b val="true"/>
      <sz val="10"/>
      <color rgb="FFB85C00"/>
      <name val="Arial"/>
      <family val="2"/>
      <charset val="1"/>
    </font>
    <font>
      <sz val="10"/>
      <color rgb="FF4B0082"/>
      <name val="Arial"/>
      <family val="2"/>
      <charset val="1"/>
    </font>
    <font>
      <sz val="10"/>
      <color theme="7" tint="-0.5"/>
      <name val="Arial"/>
      <family val="2"/>
      <charset val="1"/>
    </font>
    <font>
      <b val="true"/>
      <sz val="10"/>
      <color rgb="FF006100"/>
      <name val="Arial"/>
      <family val="2"/>
      <charset val="1"/>
    </font>
    <font>
      <b val="true"/>
      <sz val="10"/>
      <color rgb="FF4B0082"/>
      <name val="Arial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rgb="FF1A6B72"/>
      <name val="Arial"/>
      <family val="2"/>
      <charset val="1"/>
    </font>
    <font>
      <sz val="10"/>
      <color rgb="FF1A6B72"/>
      <name val="Arial"/>
      <family val="2"/>
      <charset val="1"/>
    </font>
    <font>
      <sz val="10"/>
      <color rgb="FF7030A0"/>
      <name val="Arial"/>
      <family val="2"/>
      <charset val="1"/>
    </font>
    <font>
      <i val="true"/>
      <sz val="9"/>
      <color rgb="FFB85C00"/>
      <name val="Arial"/>
      <family val="2"/>
      <charset val="1"/>
    </font>
    <font>
      <sz val="10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3"/>
      <color rgb="FFFFFFFF"/>
      <name val="Arial"/>
      <family val="2"/>
      <charset val="1"/>
    </font>
    <font>
      <b val="true"/>
      <sz val="11"/>
      <name val="Arial"/>
      <family val="2"/>
      <charset val="1"/>
    </font>
    <font>
      <sz val="11"/>
      <name val="Arial"/>
      <family val="2"/>
      <charset val="1"/>
    </font>
    <font>
      <b val="true"/>
      <sz val="9"/>
      <color rgb="FFB85C00"/>
      <name val="Arial"/>
      <family val="2"/>
      <charset val="1"/>
    </font>
    <font>
      <sz val="10"/>
      <color rgb="FF000000"/>
      <name val="Helvetica Neue"/>
      <family val="2"/>
      <charset val="1"/>
    </font>
    <font>
      <b val="true"/>
      <sz val="10"/>
      <color rgb="FF000000"/>
      <name val="Helvetica Neue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theme="7" tint="-0.25"/>
        <bgColor rgb="FF595959"/>
      </patternFill>
    </fill>
    <fill>
      <patternFill patternType="solid">
        <fgColor rgb="FFFFFF00"/>
        <bgColor rgb="FF99CC00"/>
      </patternFill>
    </fill>
    <fill>
      <patternFill patternType="solid">
        <fgColor theme="4" tint="-0.5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1A6B72"/>
        <bgColor rgb="FF2E5797"/>
      </patternFill>
    </fill>
    <fill>
      <patternFill patternType="solid">
        <fgColor rgb="FF1F3864"/>
        <bgColor rgb="FF1F3764"/>
      </patternFill>
    </fill>
    <fill>
      <patternFill patternType="solid">
        <fgColor rgb="FFDCE6F1"/>
        <bgColor rgb="FFDCE6F2"/>
      </patternFill>
    </fill>
    <fill>
      <patternFill patternType="solid">
        <fgColor rgb="FFE8D5F5"/>
        <bgColor rgb="FFE9D6F6"/>
      </patternFill>
    </fill>
    <fill>
      <patternFill patternType="solid">
        <fgColor rgb="FFE2EFDA"/>
        <bgColor rgb="FFE0F2F4"/>
      </patternFill>
    </fill>
    <fill>
      <patternFill patternType="solid">
        <fgColor rgb="FFFCE4D6"/>
        <bgColor rgb="FFFFF0E0"/>
      </patternFill>
    </fill>
    <fill>
      <patternFill patternType="solid">
        <fgColor rgb="FFF2F2F2"/>
        <bgColor rgb="FFFFF0E0"/>
      </patternFill>
    </fill>
    <fill>
      <patternFill patternType="solid">
        <fgColor rgb="FF4472C4"/>
        <bgColor rgb="FF2E5797"/>
      </patternFill>
    </fill>
    <fill>
      <patternFill patternType="solid">
        <fgColor rgb="FFE0F2F4"/>
        <bgColor rgb="FFE2EFDA"/>
      </patternFill>
    </fill>
    <fill>
      <patternFill patternType="solid">
        <fgColor rgb="FFFFF0E0"/>
        <bgColor rgb="FFF2F2F2"/>
      </patternFill>
    </fill>
    <fill>
      <patternFill patternType="solid">
        <fgColor rgb="FFD6E4BC"/>
        <bgColor rgb="FFD7E4BD"/>
      </patternFill>
    </fill>
    <fill>
      <patternFill patternType="solid">
        <fgColor theme="1" tint="0.3498"/>
        <bgColor rgb="FF604A7B"/>
      </patternFill>
    </fill>
    <fill>
      <patternFill patternType="solid">
        <fgColor theme="4" tint="0.7998"/>
        <bgColor rgb="FFDCE6F1"/>
      </patternFill>
    </fill>
    <fill>
      <patternFill patternType="solid">
        <fgColor rgb="FF2E5797"/>
        <bgColor rgb="FF1A6B72"/>
      </patternFill>
    </fill>
    <fill>
      <patternFill patternType="solid">
        <fgColor theme="6" tint="0.5998"/>
        <bgColor rgb="FFD6E4BC"/>
      </patternFill>
    </fill>
    <fill>
      <patternFill patternType="solid">
        <fgColor rgb="FF7B2D8B"/>
        <bgColor rgb="FF7030A0"/>
      </patternFill>
    </fill>
    <fill>
      <patternFill patternType="solid">
        <fgColor rgb="FFE9D6F6"/>
        <bgColor rgb="FFE8D5F5"/>
      </patternFill>
    </fill>
    <fill>
      <patternFill patternType="solid">
        <fgColor theme="9"/>
        <bgColor rgb="FFFF8080"/>
      </patternFill>
    </fill>
    <fill>
      <patternFill patternType="solid">
        <fgColor theme="1" tint="0.4998"/>
        <bgColor rgb="FF969696"/>
      </patternFill>
    </fill>
    <fill>
      <patternFill patternType="solid">
        <fgColor rgb="FF1F3764"/>
        <bgColor rgb="FF1F3864"/>
      </patternFill>
    </fill>
    <fill>
      <patternFill patternType="solid">
        <fgColor theme="7" tint="0.7998"/>
        <bgColor rgb="FFDCE6F1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9D9D9"/>
      </left>
      <right style="thin">
        <color rgb="FFD9D9D9"/>
      </right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0" fillId="3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1" fillId="9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2" fillId="5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3" fillId="10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4" fillId="11" borderId="1" xfId="0" applyFont="true" applyBorder="true" applyAlignment="true" applyProtection="true">
      <alignment horizontal="left" vertical="center" textRotation="0" wrapText="false" indent="2" shrinkToFit="false"/>
      <protection locked="true" hidden="false"/>
    </xf>
    <xf numFmtId="164" fontId="15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8" fillId="1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9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14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8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19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7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5" fillId="1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5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5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6" fillId="1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8" fontId="27" fillId="17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8" fillId="1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9" fillId="1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0" fillId="12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19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9" fontId="31" fillId="1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31" fillId="1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3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5" fillId="2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3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3" fillId="1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16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29" fillId="1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35" fillId="1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7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5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3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35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7" fillId="5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26" fillId="1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7" fillId="12" borderId="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1" fontId="1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6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1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2" fontId="1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8" fillId="7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23" fillId="3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17" fillId="1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7" fillId="13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6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0" fillId="12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64" fontId="39" fillId="1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0" fillId="3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1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0" fillId="1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40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3" fontId="1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8" fillId="19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3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7" fillId="19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7" fillId="2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0" fillId="12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7" fontId="27" fillId="5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6" fillId="3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1" fillId="3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1" fillId="9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30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42" fillId="2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6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6" fontId="27" fillId="5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2" fillId="22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2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27" fillId="5" borderId="6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13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13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1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43" fillId="5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34" fillId="5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4" fillId="9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1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34" fillId="23" borderId="0" xfId="0" applyFont="true" applyBorder="false" applyAlignment="true" applyProtection="true">
      <alignment horizontal="right" vertical="bottom" textRotation="0" wrapText="false" indent="0" shrinkToFit="false"/>
      <protection locked="false" hidden="false"/>
    </xf>
    <xf numFmtId="164" fontId="34" fillId="23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2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70" fontId="16" fillId="23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16" fillId="23" borderId="4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70" fontId="16" fillId="2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70" fontId="16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0" fontId="16" fillId="5" borderId="0" xfId="0" applyFont="true" applyBorder="false" applyAlignment="true" applyProtection="true">
      <alignment horizontal="center" vertical="center" textRotation="0" wrapText="true" indent="0" shrinkToFit="false"/>
      <protection locked="false" hidden="false"/>
    </xf>
    <xf numFmtId="170" fontId="1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16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6" fillId="5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4" fontId="8" fillId="7" borderId="0" xfId="0" applyFont="true" applyBorder="false" applyAlignment="true" applyProtection="true">
      <alignment horizontal="left" vertical="center" textRotation="0" wrapText="true" indent="0" shrinkToFit="false"/>
      <protection locked="false" hidden="false"/>
    </xf>
    <xf numFmtId="166" fontId="16" fillId="3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6" fontId="41" fillId="9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27" fillId="5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0" fontId="16" fillId="3" borderId="4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7" fontId="46" fillId="1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27" fillId="1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7" fontId="33" fillId="11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17" fillId="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47" fillId="14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16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27" fillId="1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36" fillId="3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6" fillId="3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70" fontId="27" fillId="1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39" fillId="1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22" fillId="7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13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7" fillId="1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2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1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2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8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1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1" fillId="2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2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9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39" fillId="1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43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6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7" fillId="1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7" fontId="16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12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7" fillId="21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4" fillId="5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20" fillId="1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2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7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5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1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22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14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6" fontId="8" fillId="19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8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9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8" fillId="1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3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39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6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5" fontId="52" fillId="6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16" fillId="2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6" fillId="5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7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76" fontId="5" fillId="2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0" fillId="2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50" fillId="2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13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8" fillId="6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3" fillId="7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53" fillId="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54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5" fillId="15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0" fillId="12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39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9" fontId="39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0" fontId="39" fillId="1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1" fontId="12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81" fontId="12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8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12" fillId="8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12" fillId="13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81" fontId="5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12" borderId="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7" fontId="13" fillId="1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8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6100"/>
      <rgbColor rgb="FF000080"/>
      <rgbColor rgb="FF4F6228"/>
      <rgbColor rgb="FF800080"/>
      <rgbColor rgb="FF1A6B72"/>
      <rgbColor rgb="FFD9D9D9"/>
      <rgbColor rgb="FF7F7F7F"/>
      <rgbColor rgb="FF9999FF"/>
      <rgbColor rgb="FF7B2D8B"/>
      <rgbColor rgb="FFFFF0E0"/>
      <rgbColor rgb="FFE0F2F4"/>
      <rgbColor rgb="FF4B0082"/>
      <rgbColor rgb="FFFF8080"/>
      <rgbColor rgb="FF2E5797"/>
      <rgbColor rgb="FFE8D5F5"/>
      <rgbColor rgb="FF000080"/>
      <rgbColor rgb="FFFF00FF"/>
      <rgbColor rgb="FFD7E4BD"/>
      <rgbColor rgb="FF00FFFF"/>
      <rgbColor rgb="FF800080"/>
      <rgbColor rgb="FF800000"/>
      <rgbColor rgb="FF375623"/>
      <rgbColor rgb="FF0000FF"/>
      <rgbColor rgb="FF00CCFF"/>
      <rgbColor rgb="FFDCE6F2"/>
      <rgbColor rgb="FFE2EFDA"/>
      <rgbColor rgb="FFF2F2F2"/>
      <rgbColor rgb="FFDCE6F1"/>
      <rgbColor rgb="FFE6E0EC"/>
      <rgbColor rgb="FFE9D6F6"/>
      <rgbColor rgb="FFFCE4D6"/>
      <rgbColor rgb="FF4472C4"/>
      <rgbColor rgb="FF33CCCC"/>
      <rgbColor rgb="FF99CC00"/>
      <rgbColor rgb="FFD6E4BC"/>
      <rgbColor rgb="FFF79646"/>
      <rgbColor rgb="FFFF6600"/>
      <rgbColor rgb="FF604A7B"/>
      <rgbColor rgb="FF969696"/>
      <rgbColor rgb="FF1F3764"/>
      <rgbColor rgb="FF595959"/>
      <rgbColor rgb="FF254061"/>
      <rgbColor rgb="FF22222F"/>
      <rgbColor rgb="FFB85C00"/>
      <rgbColor rgb="FF7030A0"/>
      <rgbColor rgb="FF1F3864"/>
      <rgbColor rgb="FF40315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B1" activePane="topRight" state="frozen"/>
      <selection pane="topLeft" activeCell="A1" activeCellId="0" sqref="A1"/>
      <selection pane="topRight" activeCell="C6" activeCellId="0" sqref="C6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11" min="2" style="1" width="10.16"/>
  </cols>
  <sheetData>
    <row r="1" customFormat="false" ht="15" hidden="false" customHeight="true" outlineLevel="0" collapsed="false">
      <c r="A1" s="2" t="s">
        <v>0</v>
      </c>
      <c r="B1" s="2"/>
    </row>
    <row r="2" customFormat="false" ht="15" hidden="false" customHeight="true" outlineLevel="0" collapsed="false">
      <c r="A2" s="2" t="s">
        <v>1</v>
      </c>
      <c r="E2" s="3"/>
      <c r="F2" s="4" t="s">
        <v>2</v>
      </c>
      <c r="G2" s="4"/>
      <c r="H2" s="3"/>
      <c r="I2" s="3"/>
    </row>
    <row r="3" customFormat="false" ht="15" hidden="false" customHeight="true" outlineLevel="0" collapsed="false">
      <c r="A3" s="1" t="s">
        <v>3</v>
      </c>
      <c r="E3" s="5"/>
      <c r="F3" s="6" t="s">
        <v>4</v>
      </c>
      <c r="G3" s="5"/>
      <c r="H3" s="5"/>
      <c r="I3" s="5"/>
    </row>
    <row r="5" customFormat="false" ht="15" hidden="false" customHeight="true" outlineLevel="0" collapsed="false">
      <c r="A5" s="2" t="s">
        <v>5</v>
      </c>
    </row>
    <row r="6" customFormat="false" ht="15" hidden="false" customHeight="true" outlineLevel="0" collapsed="false">
      <c r="A6" s="1" t="s">
        <v>6</v>
      </c>
    </row>
    <row r="7" customFormat="false" ht="15" hidden="false" customHeight="true" outlineLevel="0" collapsed="false">
      <c r="A7" s="1" t="s">
        <v>7</v>
      </c>
    </row>
    <row r="8" customFormat="false" ht="15" hidden="false" customHeight="true" outlineLevel="0" collapsed="false">
      <c r="A8" s="1" t="s">
        <v>8</v>
      </c>
    </row>
    <row r="9" customFormat="false" ht="15" hidden="false" customHeight="true" outlineLevel="0" collapsed="false">
      <c r="A9" s="1" t="s">
        <v>9</v>
      </c>
    </row>
    <row r="15" customFormat="false" ht="15" hidden="false" customHeight="true" outlineLevel="0" collapsed="false">
      <c r="A15" s="2" t="s">
        <v>10</v>
      </c>
    </row>
    <row r="16" customFormat="false" ht="15" hidden="false" customHeight="true" outlineLevel="0" collapsed="false">
      <c r="A16" s="7" t="s">
        <v>11</v>
      </c>
      <c r="B16" s="8"/>
      <c r="C16" s="8"/>
      <c r="D16" s="8"/>
      <c r="E16" s="8"/>
      <c r="F16" s="8"/>
      <c r="G16" s="8"/>
      <c r="H16" s="8"/>
      <c r="I16" s="8"/>
      <c r="J16" s="8"/>
      <c r="K16" s="8"/>
    </row>
    <row r="17" customFormat="false" ht="15" hidden="false" customHeight="true" outlineLevel="0" collapsed="false">
      <c r="A17" s="1" t="s">
        <v>12</v>
      </c>
    </row>
    <row r="18" customFormat="false" ht="15" hidden="false" customHeight="true" outlineLevel="0" collapsed="false">
      <c r="A18" s="1" t="s">
        <v>13</v>
      </c>
    </row>
    <row r="19" customFormat="false" ht="15" hidden="false" customHeight="true" outlineLevel="0" collapsed="false">
      <c r="A19" s="1" t="s">
        <v>14</v>
      </c>
    </row>
    <row r="20" customFormat="false" ht="15" hidden="false" customHeight="true" outlineLevel="0" collapsed="false">
      <c r="A20" s="1" t="s">
        <v>15</v>
      </c>
    </row>
    <row r="21" customFormat="false" ht="15" hidden="false" customHeight="true" outlineLevel="0" collapsed="false">
      <c r="A21" s="1" t="s">
        <v>16</v>
      </c>
    </row>
    <row r="22" customFormat="false" ht="15" hidden="false" customHeight="true" outlineLevel="0" collapsed="false">
      <c r="A22" s="1" t="s">
        <v>17</v>
      </c>
    </row>
    <row r="23" customFormat="false" ht="15" hidden="false" customHeight="true" outlineLevel="0" collapsed="false">
      <c r="A23" s="1" t="s">
        <v>18</v>
      </c>
    </row>
    <row r="24" customFormat="false" ht="15" hidden="false" customHeight="true" outlineLevel="0" collapsed="false">
      <c r="A24" s="1" t="s">
        <v>19</v>
      </c>
    </row>
    <row r="25" customFormat="false" ht="15" hidden="false" customHeight="true" outlineLevel="0" collapsed="false">
      <c r="A25" s="1" t="s">
        <v>20</v>
      </c>
    </row>
    <row r="26" customFormat="false" ht="15" hidden="false" customHeight="true" outlineLevel="0" collapsed="false">
      <c r="A26" s="1" t="s">
        <v>21</v>
      </c>
    </row>
    <row r="27" customFormat="false" ht="15" hidden="false" customHeight="true" outlineLevel="0" collapsed="false">
      <c r="A27" s="1" t="s">
        <v>22</v>
      </c>
    </row>
    <row r="28" customFormat="false" ht="15" hidden="false" customHeight="true" outlineLevel="0" collapsed="false">
      <c r="A28" s="1" t="s">
        <v>23</v>
      </c>
    </row>
    <row r="29" customFormat="false" ht="15" hidden="false" customHeight="true" outlineLevel="0" collapsed="false">
      <c r="A29" s="1" t="s">
        <v>24</v>
      </c>
    </row>
    <row r="30" customFormat="false" ht="15" hidden="false" customHeight="true" outlineLevel="0" collapsed="false">
      <c r="A30" s="1" t="s">
        <v>25</v>
      </c>
    </row>
    <row r="31" customFormat="false" ht="15" hidden="false" customHeight="true" outlineLevel="0" collapsed="false">
      <c r="A31" s="1" t="s">
        <v>26</v>
      </c>
    </row>
    <row r="40" customFormat="false" ht="15" hidden="false" customHeight="true" outlineLevel="0" collapsed="false">
      <c r="A40" s="2" t="s">
        <v>27</v>
      </c>
    </row>
    <row r="41" customFormat="false" ht="15" hidden="false" customHeight="true" outlineLevel="0" collapsed="false">
      <c r="A41" s="7" t="s">
        <v>11</v>
      </c>
      <c r="B41" s="8"/>
      <c r="C41" s="8"/>
      <c r="D41" s="8"/>
      <c r="E41" s="8"/>
      <c r="F41" s="8"/>
      <c r="G41" s="8"/>
      <c r="H41" s="8"/>
      <c r="I41" s="8"/>
      <c r="J41" s="8"/>
      <c r="K41" s="8"/>
    </row>
    <row r="42" customFormat="false" ht="15" hidden="false" customHeight="true" outlineLevel="0" collapsed="false">
      <c r="A42" s="1" t="s">
        <v>12</v>
      </c>
    </row>
    <row r="43" customFormat="false" ht="15" hidden="false" customHeight="true" outlineLevel="0" collapsed="false">
      <c r="A43" s="1" t="s">
        <v>28</v>
      </c>
    </row>
    <row r="44" customFormat="false" ht="15" hidden="false" customHeight="true" outlineLevel="0" collapsed="false">
      <c r="A44" s="1" t="s">
        <v>20</v>
      </c>
    </row>
    <row r="45" customFormat="false" ht="15" hidden="false" customHeight="true" outlineLevel="0" collapsed="false">
      <c r="A45" s="1" t="s">
        <v>21</v>
      </c>
    </row>
    <row r="46" customFormat="false" ht="15" hidden="false" customHeight="true" outlineLevel="0" collapsed="false">
      <c r="A46" s="1" t="s">
        <v>22</v>
      </c>
    </row>
    <row r="47" customFormat="false" ht="15" hidden="false" customHeight="true" outlineLevel="0" collapsed="false">
      <c r="A47" s="1" t="s">
        <v>23</v>
      </c>
    </row>
    <row r="48" customFormat="false" ht="15" hidden="false" customHeight="true" outlineLevel="0" collapsed="false">
      <c r="A48" s="1" t="s">
        <v>24</v>
      </c>
    </row>
    <row r="49" customFormat="false" ht="15" hidden="false" customHeight="true" outlineLevel="0" collapsed="false">
      <c r="A49" s="1" t="s">
        <v>25</v>
      </c>
    </row>
    <row r="50" customFormat="false" ht="15" hidden="false" customHeight="true" outlineLevel="0" collapsed="false">
      <c r="A50" s="1" t="s">
        <v>29</v>
      </c>
    </row>
    <row r="55" customFormat="false" ht="15" hidden="false" customHeight="true" outlineLevel="0" collapsed="false">
      <c r="A55" s="2" t="s">
        <v>30</v>
      </c>
    </row>
    <row r="56" customFormat="false" ht="15" hidden="false" customHeight="true" outlineLevel="0" collapsed="false">
      <c r="A56" s="7" t="s">
        <v>11</v>
      </c>
      <c r="B56" s="8"/>
      <c r="C56" s="8"/>
      <c r="D56" s="8"/>
      <c r="E56" s="8"/>
      <c r="F56" s="8"/>
      <c r="G56" s="8"/>
      <c r="H56" s="8"/>
      <c r="I56" s="8"/>
      <c r="J56" s="8"/>
      <c r="K56" s="8"/>
    </row>
    <row r="57" customFormat="false" ht="15" hidden="false" customHeight="true" outlineLevel="0" collapsed="false">
      <c r="A57" s="1" t="s">
        <v>31</v>
      </c>
    </row>
    <row r="58" customFormat="false" ht="15" hidden="false" customHeight="true" outlineLevel="0" collapsed="false">
      <c r="A58" s="1" t="s">
        <v>32</v>
      </c>
    </row>
    <row r="59" customFormat="false" ht="15" hidden="false" customHeight="true" outlineLevel="0" collapsed="false">
      <c r="A59" s="1" t="s">
        <v>33</v>
      </c>
    </row>
    <row r="60" customFormat="false" ht="15" hidden="false" customHeight="true" outlineLevel="0" collapsed="false">
      <c r="A60" s="1" t="s">
        <v>34</v>
      </c>
    </row>
    <row r="61" customFormat="false" ht="15" hidden="false" customHeight="true" outlineLevel="0" collapsed="false">
      <c r="A61" s="1" t="s">
        <v>35</v>
      </c>
    </row>
    <row r="62" customFormat="false" ht="15" hidden="false" customHeight="true" outlineLevel="0" collapsed="false">
      <c r="A62" s="9" t="s">
        <v>36</v>
      </c>
    </row>
    <row r="63" customFormat="false" ht="15" hidden="false" customHeight="true" outlineLevel="0" collapsed="false">
      <c r="A63" s="9" t="s">
        <v>37</v>
      </c>
    </row>
    <row r="64" customFormat="false" ht="15" hidden="false" customHeight="true" outlineLevel="0" collapsed="false">
      <c r="A64" s="9" t="s">
        <v>38</v>
      </c>
    </row>
    <row r="65" customFormat="false" ht="15" hidden="false" customHeight="true" outlineLevel="0" collapsed="false">
      <c r="A65" s="9" t="s">
        <v>39</v>
      </c>
    </row>
    <row r="66" customFormat="false" ht="15" hidden="false" customHeight="true" outlineLevel="0" collapsed="false">
      <c r="A66" s="9" t="s">
        <v>35</v>
      </c>
    </row>
    <row r="67" customFormat="false" ht="15" hidden="false" customHeight="true" outlineLevel="0" collapsed="false">
      <c r="A67" s="9" t="s">
        <v>40</v>
      </c>
    </row>
    <row r="68" customFormat="false" ht="15" hidden="false" customHeight="true" outlineLevel="0" collapsed="false">
      <c r="A68" s="9" t="s">
        <v>41</v>
      </c>
    </row>
    <row r="69" customFormat="false" ht="15" hidden="false" customHeight="true" outlineLevel="0" collapsed="false">
      <c r="A69" s="9" t="s">
        <v>42</v>
      </c>
    </row>
    <row r="70" customFormat="false" ht="15" hidden="false" customHeight="true" outlineLevel="0" collapsed="false">
      <c r="A70" s="9" t="s">
        <v>43</v>
      </c>
    </row>
    <row r="71" customFormat="false" ht="15" hidden="false" customHeight="true" outlineLevel="0" collapsed="false">
      <c r="A71" s="9" t="s">
        <v>44</v>
      </c>
    </row>
    <row r="72" customFormat="false" ht="15" hidden="false" customHeight="true" outlineLevel="0" collapsed="false">
      <c r="A72" s="1" t="s">
        <v>45</v>
      </c>
    </row>
    <row r="80" customFormat="false" ht="15" hidden="false" customHeight="true" outlineLevel="0" collapsed="false">
      <c r="A80" s="2" t="s">
        <v>46</v>
      </c>
    </row>
    <row r="81" customFormat="false" ht="15" hidden="false" customHeight="true" outlineLevel="0" collapsed="false">
      <c r="A81" s="7" t="s">
        <v>11</v>
      </c>
      <c r="B81" s="8"/>
      <c r="C81" s="8"/>
      <c r="D81" s="8"/>
      <c r="E81" s="8"/>
      <c r="F81" s="8"/>
      <c r="G81" s="8"/>
      <c r="H81" s="8"/>
      <c r="I81" s="8"/>
      <c r="J81" s="8"/>
      <c r="K81" s="8"/>
    </row>
    <row r="82" customFormat="false" ht="15" hidden="false" customHeight="true" outlineLevel="0" collapsed="false">
      <c r="A82" s="1" t="s">
        <v>47</v>
      </c>
    </row>
    <row r="83" customFormat="false" ht="15" hidden="false" customHeight="true" outlineLevel="0" collapsed="false">
      <c r="A83" s="1" t="s">
        <v>48</v>
      </c>
    </row>
    <row r="84" customFormat="false" ht="15" hidden="false" customHeight="true" outlineLevel="0" collapsed="false">
      <c r="A84" s="1" t="s">
        <v>49</v>
      </c>
    </row>
    <row r="85" customFormat="false" ht="15" hidden="false" customHeight="true" outlineLevel="0" collapsed="false">
      <c r="A85" s="1" t="s">
        <v>50</v>
      </c>
    </row>
    <row r="90" customFormat="false" ht="15" hidden="false" customHeight="true" outlineLevel="0" collapsed="false">
      <c r="A90" s="2" t="s">
        <v>51</v>
      </c>
    </row>
    <row r="92" customFormat="false" ht="15" hidden="false" customHeight="true" outlineLevel="0" collapsed="false">
      <c r="A92" s="2" t="s">
        <v>52</v>
      </c>
    </row>
    <row r="93" customFormat="false" ht="15" hidden="false" customHeight="true" outlineLevel="0" collapsed="false">
      <c r="A93" s="1" t="s">
        <v>53</v>
      </c>
    </row>
    <row r="99" customFormat="false" ht="15" hidden="false" customHeight="true" outlineLevel="0" collapsed="false">
      <c r="A99" s="1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49"/>
  <sheetViews>
    <sheetView showFormulas="false" showGridLines="false" showRowColHeaders="true" showZeros="true" rightToLeft="false" tabSelected="false" showOutlineSymbols="true" defaultGridColor="true" view="normal" topLeftCell="A24" colorId="64" zoomScale="75" zoomScaleNormal="75" zoomScalePageLayoutView="100" workbookViewId="0">
      <selection pane="topLeft" activeCell="D33" activeCellId="0" sqref="D33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18"/>
    <col collapsed="false" customWidth="true" hidden="false" outlineLevel="0" max="4" min="4" style="1" width="90"/>
    <col collapsed="false" customWidth="true" hidden="false" outlineLevel="0" max="17" min="5" style="1" width="18"/>
  </cols>
  <sheetData>
    <row r="1" customFormat="false" ht="48" hidden="false" customHeight="true" outlineLevel="0" collapsed="false">
      <c r="B1" s="10" t="s">
        <v>55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customFormat="false" ht="21.75" hidden="false" customHeight="true" outlineLevel="0" collapsed="false">
      <c r="B2" s="11" t="s">
        <v>56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customFormat="false" ht="37.5" hidden="false" customHeight="true" outlineLevel="0" collapsed="false">
      <c r="B3" s="12" t="s">
        <v>57</v>
      </c>
    </row>
    <row r="4" customFormat="false" ht="21.75" hidden="false" customHeight="true" outlineLevel="0" collapsed="false">
      <c r="B4" s="13" t="s">
        <v>58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customFormat="false" ht="19.5" hidden="false" customHeight="true" outlineLevel="0" collapsed="false">
      <c r="B5" s="14" t="s">
        <v>59</v>
      </c>
      <c r="C5" s="14"/>
      <c r="D5" s="15"/>
      <c r="E5" s="15"/>
      <c r="F5" s="15"/>
      <c r="G5" s="15"/>
    </row>
    <row r="6" customFormat="false" ht="19.5" hidden="false" customHeight="true" outlineLevel="0" collapsed="false">
      <c r="B6" s="14" t="s">
        <v>60</v>
      </c>
      <c r="C6" s="14"/>
      <c r="D6" s="15"/>
      <c r="E6" s="15"/>
      <c r="F6" s="15"/>
      <c r="G6" s="15"/>
    </row>
    <row r="7" customFormat="false" ht="19.5" hidden="false" customHeight="true" outlineLevel="0" collapsed="false">
      <c r="B7" s="14" t="s">
        <v>61</v>
      </c>
      <c r="C7" s="14"/>
      <c r="D7" s="15"/>
      <c r="E7" s="15"/>
      <c r="F7" s="15"/>
      <c r="G7" s="15"/>
    </row>
    <row r="8" customFormat="false" ht="19.5" hidden="false" customHeight="true" outlineLevel="0" collapsed="false">
      <c r="B8" s="14" t="s">
        <v>62</v>
      </c>
      <c r="C8" s="14"/>
      <c r="D8" s="15"/>
      <c r="E8" s="15"/>
      <c r="F8" s="15"/>
      <c r="G8" s="15"/>
    </row>
    <row r="9" customFormat="false" ht="19.5" hidden="false" customHeight="true" outlineLevel="0" collapsed="false">
      <c r="B9" s="14" t="s">
        <v>63</v>
      </c>
      <c r="C9" s="14"/>
      <c r="D9" s="15"/>
      <c r="E9" s="15"/>
      <c r="F9" s="15"/>
      <c r="G9" s="15"/>
    </row>
    <row r="10" customFormat="false" ht="7.5" hidden="false" customHeight="true" outlineLevel="0" collapsed="false"/>
    <row r="11" customFormat="false" ht="21.75" hidden="false" customHeight="true" outlineLevel="0" collapsed="false">
      <c r="B11" s="13" t="s">
        <v>64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</row>
    <row r="12" customFormat="false" ht="18" hidden="false" customHeight="true" outlineLevel="0" collapsed="false">
      <c r="B12" s="16" t="s">
        <v>65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customFormat="false" ht="18" hidden="false" customHeight="true" outlineLevel="0" collapsed="false">
      <c r="B13" s="17" t="s">
        <v>66</v>
      </c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</row>
    <row r="14" customFormat="false" ht="18" hidden="false" customHeight="true" outlineLevel="0" collapsed="false">
      <c r="B14" s="18" t="s">
        <v>67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  <row r="15" customFormat="false" ht="18" hidden="false" customHeight="true" outlineLevel="0" collapsed="false">
      <c r="B15" s="19" t="s">
        <v>68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</row>
    <row r="16" customFormat="false" ht="18" hidden="false" customHeight="true" outlineLevel="0" collapsed="false">
      <c r="B16" s="20" t="s">
        <v>69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</row>
    <row r="17" customFormat="false" ht="18" hidden="false" customHeight="true" outlineLevel="0" collapsed="false">
      <c r="B17" s="21" t="s">
        <v>70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</row>
    <row r="18" customFormat="false" ht="7.5" hidden="false" customHeight="true" outlineLevel="0" collapsed="false"/>
    <row r="19" customFormat="false" ht="21.75" hidden="false" customHeight="true" outlineLevel="0" collapsed="false">
      <c r="B19" s="13" t="s">
        <v>71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customFormat="false" ht="30" hidden="false" customHeight="true" outlineLevel="0" collapsed="false">
      <c r="B20" s="22" t="s">
        <v>72</v>
      </c>
      <c r="C20" s="22"/>
      <c r="D20" s="23" t="s">
        <v>73</v>
      </c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</row>
    <row r="21" customFormat="false" ht="30" hidden="false" customHeight="true" outlineLevel="0" collapsed="false">
      <c r="B21" s="22" t="s">
        <v>74</v>
      </c>
      <c r="C21" s="22"/>
      <c r="D21" s="24" t="s">
        <v>75</v>
      </c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</row>
    <row r="22" customFormat="false" ht="30" hidden="false" customHeight="true" outlineLevel="0" collapsed="false">
      <c r="B22" s="22" t="s">
        <v>76</v>
      </c>
      <c r="C22" s="22"/>
      <c r="D22" s="23" t="s">
        <v>77</v>
      </c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</row>
    <row r="23" customFormat="false" ht="30" hidden="false" customHeight="true" outlineLevel="0" collapsed="false">
      <c r="B23" s="22" t="s">
        <v>78</v>
      </c>
      <c r="C23" s="22"/>
      <c r="D23" s="24" t="s">
        <v>79</v>
      </c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</row>
    <row r="24" customFormat="false" ht="36" hidden="false" customHeight="true" outlineLevel="0" collapsed="false">
      <c r="B24" s="22" t="s">
        <v>80</v>
      </c>
      <c r="C24" s="22"/>
      <c r="D24" s="23" t="s">
        <v>81</v>
      </c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</row>
    <row r="25" customFormat="false" ht="30" hidden="false" customHeight="true" outlineLevel="0" collapsed="false">
      <c r="B25" s="22" t="s">
        <v>20</v>
      </c>
      <c r="C25" s="22"/>
      <c r="D25" s="24" t="s">
        <v>82</v>
      </c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</row>
    <row r="26" customFormat="false" ht="21.75" hidden="false" customHeight="true" outlineLevel="0" collapsed="false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</row>
    <row r="27" customFormat="false" ht="21.75" hidden="false" customHeight="true" outlineLevel="0" collapsed="false">
      <c r="B27" s="25" t="s">
        <v>83</v>
      </c>
      <c r="C27" s="26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</row>
    <row r="28" customFormat="false" ht="27.75" hidden="false" customHeight="true" outlineLevel="0" collapsed="false">
      <c r="B28" s="28" t="s">
        <v>84</v>
      </c>
      <c r="C28" s="29" t="s">
        <v>85</v>
      </c>
      <c r="D28" s="23" t="s">
        <v>86</v>
      </c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</row>
    <row r="29" customFormat="false" ht="27.75" hidden="false" customHeight="true" outlineLevel="0" collapsed="false">
      <c r="B29" s="28" t="s">
        <v>87</v>
      </c>
      <c r="C29" s="29" t="s">
        <v>88</v>
      </c>
      <c r="D29" s="24" t="s">
        <v>89</v>
      </c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</row>
    <row r="30" customFormat="false" ht="27.75" hidden="false" customHeight="true" outlineLevel="0" collapsed="false">
      <c r="B30" s="28" t="s">
        <v>90</v>
      </c>
      <c r="C30" s="29" t="s">
        <v>91</v>
      </c>
      <c r="D30" s="23" t="s">
        <v>92</v>
      </c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</row>
    <row r="31" customFormat="false" ht="27.75" hidden="false" customHeight="true" outlineLevel="0" collapsed="false">
      <c r="B31" s="28" t="s">
        <v>93</v>
      </c>
      <c r="C31" s="29" t="s">
        <v>94</v>
      </c>
      <c r="D31" s="24" t="s">
        <v>95</v>
      </c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</row>
    <row r="32" customFormat="false" ht="27.75" hidden="false" customHeight="true" outlineLevel="0" collapsed="false">
      <c r="B32" s="28" t="s">
        <v>96</v>
      </c>
      <c r="C32" s="29" t="s">
        <v>97</v>
      </c>
      <c r="D32" s="23" t="s">
        <v>98</v>
      </c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</row>
    <row r="33" customFormat="false" ht="27.75" hidden="false" customHeight="true" outlineLevel="0" collapsed="false">
      <c r="B33" s="30" t="s">
        <v>99</v>
      </c>
      <c r="C33" s="31" t="s">
        <v>100</v>
      </c>
      <c r="D33" s="32" t="s">
        <v>101</v>
      </c>
    </row>
    <row r="34" customFormat="false" ht="27.75" hidden="false" customHeight="true" outlineLevel="0" collapsed="false">
      <c r="B34" s="30" t="s">
        <v>102</v>
      </c>
      <c r="C34" s="31" t="s">
        <v>103</v>
      </c>
      <c r="D34" s="33" t="s">
        <v>104</v>
      </c>
    </row>
    <row r="36" customFormat="false" ht="15" hidden="false" customHeight="true" outlineLevel="0" collapsed="false">
      <c r="B36" s="34" t="s">
        <v>105</v>
      </c>
      <c r="C36" s="34"/>
      <c r="D36" s="34"/>
    </row>
    <row r="37" customFormat="false" ht="15" hidden="false" customHeight="true" outlineLevel="0" collapsed="false">
      <c r="B37" s="35" t="s">
        <v>106</v>
      </c>
      <c r="C37" s="35" t="s">
        <v>107</v>
      </c>
      <c r="D37" s="35" t="s">
        <v>108</v>
      </c>
    </row>
    <row r="38" customFormat="false" ht="24" hidden="false" customHeight="true" outlineLevel="0" collapsed="false">
      <c r="B38" s="36" t="s">
        <v>109</v>
      </c>
      <c r="C38" s="37" t="s">
        <v>110</v>
      </c>
      <c r="D38" s="38" t="s">
        <v>111</v>
      </c>
    </row>
    <row r="39" customFormat="false" ht="24" hidden="false" customHeight="true" outlineLevel="0" collapsed="false">
      <c r="B39" s="39" t="s">
        <v>112</v>
      </c>
      <c r="C39" s="40" t="s">
        <v>110</v>
      </c>
      <c r="D39" s="41" t="s">
        <v>113</v>
      </c>
    </row>
    <row r="40" customFormat="false" ht="24" hidden="false" customHeight="true" outlineLevel="0" collapsed="false">
      <c r="B40" s="36" t="s">
        <v>114</v>
      </c>
      <c r="C40" s="37" t="s">
        <v>110</v>
      </c>
      <c r="D40" s="38" t="s">
        <v>115</v>
      </c>
    </row>
    <row r="41" customFormat="false" ht="24" hidden="false" customHeight="true" outlineLevel="0" collapsed="false">
      <c r="B41" s="39" t="s">
        <v>116</v>
      </c>
      <c r="C41" s="40" t="s">
        <v>110</v>
      </c>
      <c r="D41" s="41" t="s">
        <v>117</v>
      </c>
    </row>
    <row r="42" customFormat="false" ht="24" hidden="false" customHeight="true" outlineLevel="0" collapsed="false">
      <c r="B42" s="36" t="s">
        <v>118</v>
      </c>
      <c r="C42" s="37" t="s">
        <v>119</v>
      </c>
      <c r="D42" s="38" t="s">
        <v>120</v>
      </c>
    </row>
    <row r="43" customFormat="false" ht="24" hidden="false" customHeight="true" outlineLevel="0" collapsed="false">
      <c r="B43" s="39" t="s">
        <v>121</v>
      </c>
      <c r="C43" s="40" t="s">
        <v>122</v>
      </c>
      <c r="D43" s="41" t="s">
        <v>123</v>
      </c>
    </row>
    <row r="44" customFormat="false" ht="24" hidden="false" customHeight="true" outlineLevel="0" collapsed="false">
      <c r="B44" s="36" t="s">
        <v>124</v>
      </c>
      <c r="C44" s="37" t="s">
        <v>125</v>
      </c>
      <c r="D44" s="38" t="s">
        <v>126</v>
      </c>
    </row>
    <row r="45" customFormat="false" ht="24" hidden="false" customHeight="true" outlineLevel="0" collapsed="false">
      <c r="B45" s="39" t="s">
        <v>127</v>
      </c>
      <c r="C45" s="40" t="s">
        <v>128</v>
      </c>
      <c r="D45" s="41" t="s">
        <v>129</v>
      </c>
    </row>
    <row r="46" customFormat="false" ht="24" hidden="false" customHeight="true" outlineLevel="0" collapsed="false">
      <c r="B46" s="36" t="s">
        <v>130</v>
      </c>
      <c r="C46" s="37" t="s">
        <v>131</v>
      </c>
      <c r="D46" s="38" t="s">
        <v>132</v>
      </c>
    </row>
    <row r="47" customFormat="false" ht="24" hidden="false" customHeight="true" outlineLevel="0" collapsed="false">
      <c r="B47" s="39" t="s">
        <v>133</v>
      </c>
      <c r="C47" s="40" t="s">
        <v>134</v>
      </c>
      <c r="D47" s="41" t="s">
        <v>135</v>
      </c>
    </row>
    <row r="48" customFormat="false" ht="24" hidden="false" customHeight="true" outlineLevel="0" collapsed="false">
      <c r="B48" s="36" t="s">
        <v>136</v>
      </c>
      <c r="C48" s="37" t="s">
        <v>110</v>
      </c>
      <c r="D48" s="38" t="s">
        <v>137</v>
      </c>
    </row>
    <row r="49" customFormat="false" ht="24" hidden="false" customHeight="true" outlineLevel="0" collapsed="false">
      <c r="B49" s="39" t="s">
        <v>138</v>
      </c>
      <c r="C49" s="40" t="s">
        <v>139</v>
      </c>
      <c r="D49" s="41" t="s">
        <v>140</v>
      </c>
    </row>
  </sheetData>
  <mergeCells count="41">
    <mergeCell ref="B1:O1"/>
    <mergeCell ref="B2:O2"/>
    <mergeCell ref="B4:O4"/>
    <mergeCell ref="B5:C5"/>
    <mergeCell ref="D5:G5"/>
    <mergeCell ref="B6:C6"/>
    <mergeCell ref="D6:G6"/>
    <mergeCell ref="B7:C7"/>
    <mergeCell ref="D7:G7"/>
    <mergeCell ref="B8:C8"/>
    <mergeCell ref="D8:G8"/>
    <mergeCell ref="B9:C9"/>
    <mergeCell ref="D9:G9"/>
    <mergeCell ref="B11:O11"/>
    <mergeCell ref="B12:O12"/>
    <mergeCell ref="B13:O13"/>
    <mergeCell ref="B14:O14"/>
    <mergeCell ref="B15:O15"/>
    <mergeCell ref="B16:O16"/>
    <mergeCell ref="B17:O17"/>
    <mergeCell ref="B19:O19"/>
    <mergeCell ref="B20:C20"/>
    <mergeCell ref="D20:O20"/>
    <mergeCell ref="B21:C21"/>
    <mergeCell ref="D21:O21"/>
    <mergeCell ref="B22:C22"/>
    <mergeCell ref="D22:O22"/>
    <mergeCell ref="B23:C23"/>
    <mergeCell ref="D23:O23"/>
    <mergeCell ref="B24:C24"/>
    <mergeCell ref="D24:O24"/>
    <mergeCell ref="B25:C25"/>
    <mergeCell ref="D25:O25"/>
    <mergeCell ref="B26:O26"/>
    <mergeCell ref="D27:O27"/>
    <mergeCell ref="D28:O28"/>
    <mergeCell ref="D29:O29"/>
    <mergeCell ref="D30:O30"/>
    <mergeCell ref="D31:O31"/>
    <mergeCell ref="D32:O32"/>
    <mergeCell ref="B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64" activePane="bottomRight" state="frozen"/>
      <selection pane="topLeft" activeCell="A1" activeCellId="0" sqref="A1"/>
      <selection pane="topRight" activeCell="C1" activeCellId="0" sqref="C1"/>
      <selection pane="bottomLeft" activeCell="A64" activeCellId="0" sqref="A64"/>
      <selection pane="bottomRight" activeCell="B64" activeCellId="0" sqref="B64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7" min="3" style="1" width="13"/>
    <col collapsed="false" customWidth="true" hidden="false" outlineLevel="0" max="8" min="8" style="1" width="4"/>
    <col collapsed="false" customWidth="true" hidden="false" outlineLevel="0" max="9" min="9" style="42" width="80.34"/>
  </cols>
  <sheetData>
    <row r="1" customFormat="false" ht="27.75" hidden="false" customHeight="true" outlineLevel="0" collapsed="false">
      <c r="B1" s="43" t="s">
        <v>141</v>
      </c>
      <c r="C1" s="43"/>
      <c r="D1" s="43"/>
      <c r="E1" s="43"/>
      <c r="F1" s="43"/>
      <c r="G1" s="43"/>
      <c r="H1" s="43"/>
      <c r="I1" s="43"/>
    </row>
    <row r="2" customFormat="false" ht="30" hidden="false" customHeight="true" outlineLevel="0" collapsed="false">
      <c r="B2" s="44" t="s">
        <v>142</v>
      </c>
      <c r="C2" s="44"/>
      <c r="D2" s="44"/>
      <c r="E2" s="44"/>
      <c r="F2" s="44"/>
      <c r="G2" s="44"/>
      <c r="H2" s="44"/>
    </row>
    <row r="3" customFormat="false" ht="21.75" hidden="false" customHeight="true" outlineLevel="0" collapsed="false">
      <c r="B3" s="13" t="s">
        <v>143</v>
      </c>
      <c r="C3" s="13"/>
      <c r="D3" s="13"/>
      <c r="E3" s="13"/>
      <c r="F3" s="13"/>
      <c r="G3" s="13"/>
      <c r="H3" s="13"/>
      <c r="I3" s="13"/>
    </row>
    <row r="4" customFormat="false" ht="19.5" hidden="false" customHeight="true" outlineLevel="0" collapsed="false">
      <c r="B4" s="45" t="s">
        <v>144</v>
      </c>
      <c r="C4" s="46" t="str">
        <f aca="false">IFERROR("FY"&amp;TEXT('Data Sheet'!G16,"YYYY"),"FY2022")</f>
        <v>FY1899</v>
      </c>
      <c r="D4" s="46" t="str">
        <f aca="false">IFERROR("FY"&amp;TEXT('Data Sheet'!H16,"YYYY"),"FY2023")</f>
        <v>FY1899</v>
      </c>
      <c r="E4" s="46" t="str">
        <f aca="false">IFERROR("FY"&amp;TEXT('Data Sheet'!I16,"YYYY"),"FY2024")</f>
        <v>FY1899</v>
      </c>
      <c r="F4" s="46" t="str">
        <f aca="false">IFERROR("FY"&amp;TEXT('Data Sheet'!J16,"YYYY"),"FY2025")</f>
        <v>FY1899</v>
      </c>
      <c r="G4" s="46" t="str">
        <f aca="false">IFERROR("FY"&amp;TEXT('Data Sheet'!K16,"YYYY"),"FY2026")</f>
        <v>FY1899</v>
      </c>
      <c r="I4" s="47" t="s">
        <v>145</v>
      </c>
    </row>
    <row r="5" customFormat="false" ht="15" hidden="false" customHeight="true" outlineLevel="0" collapsed="false">
      <c r="B5" s="24" t="s">
        <v>12</v>
      </c>
      <c r="C5" s="48" t="n">
        <f aca="false">IFERROR('Data Sheet'!G17,0)</f>
        <v>0</v>
      </c>
      <c r="D5" s="48" t="n">
        <f aca="false">IFERROR('Data Sheet'!H17,0)</f>
        <v>0</v>
      </c>
      <c r="E5" s="48" t="n">
        <f aca="false">IFERROR('Data Sheet'!I17,0)</f>
        <v>0</v>
      </c>
      <c r="F5" s="48" t="n">
        <f aca="false">IFERROR('Data Sheet'!J17,0)</f>
        <v>0</v>
      </c>
      <c r="G5" s="48" t="n">
        <f aca="false">IFERROR('Data Sheet'!K17,0)</f>
        <v>0</v>
      </c>
      <c r="I5" s="49" t="s">
        <v>146</v>
      </c>
    </row>
    <row r="6" customFormat="false" ht="18" hidden="false" customHeight="true" outlineLevel="0" collapsed="false">
      <c r="B6" s="24" t="s">
        <v>147</v>
      </c>
      <c r="C6" s="50" t="n">
        <f aca="false">IFERROR('Data Sheet'!G28+'Data Sheet'!G26+'Data Sheet'!G27-'Data Sheet'!G25,0)</f>
        <v>0</v>
      </c>
      <c r="D6" s="50" t="n">
        <f aca="false">IFERROR('Data Sheet'!H28+'Data Sheet'!H26+'Data Sheet'!H27-'Data Sheet'!H25,0)</f>
        <v>0</v>
      </c>
      <c r="E6" s="50" t="n">
        <f aca="false">IFERROR('Data Sheet'!I28+'Data Sheet'!I26+'Data Sheet'!I27-'Data Sheet'!I25,0)</f>
        <v>0</v>
      </c>
      <c r="F6" s="50" t="n">
        <f aca="false">IFERROR('Data Sheet'!J28+'Data Sheet'!J26+'Data Sheet'!J27-'Data Sheet'!J25,0)</f>
        <v>0</v>
      </c>
      <c r="G6" s="50" t="n">
        <f aca="false">IFERROR('Data Sheet'!K28+'Data Sheet'!K26+'Data Sheet'!K27-'Data Sheet'!K25,0)</f>
        <v>0</v>
      </c>
      <c r="I6" s="49" t="s">
        <v>148</v>
      </c>
    </row>
    <row r="7" customFormat="false" ht="18" hidden="false" customHeight="true" outlineLevel="0" collapsed="false">
      <c r="B7" s="24" t="s">
        <v>20</v>
      </c>
      <c r="C7" s="48" t="n">
        <f aca="false">IFERROR('Data Sheet'!G25,0)</f>
        <v>0</v>
      </c>
      <c r="D7" s="48" t="n">
        <f aca="false">IFERROR('Data Sheet'!H25,0)</f>
        <v>0</v>
      </c>
      <c r="E7" s="48" t="n">
        <f aca="false">IFERROR('Data Sheet'!I25,0)</f>
        <v>0</v>
      </c>
      <c r="F7" s="48" t="n">
        <f aca="false">IFERROR('Data Sheet'!J25,0)</f>
        <v>0</v>
      </c>
      <c r="G7" s="48" t="n">
        <f aca="false">IFERROR('Data Sheet'!K25,0)</f>
        <v>0</v>
      </c>
      <c r="I7" s="49" t="s">
        <v>149</v>
      </c>
    </row>
    <row r="8" customFormat="false" ht="18" hidden="false" customHeight="true" outlineLevel="0" collapsed="false">
      <c r="B8" s="24" t="s">
        <v>22</v>
      </c>
      <c r="C8" s="48" t="n">
        <f aca="false">IFERROR('Data Sheet'!G27,0)</f>
        <v>0</v>
      </c>
      <c r="D8" s="48" t="n">
        <f aca="false">IFERROR('Data Sheet'!H27,0)</f>
        <v>0</v>
      </c>
      <c r="E8" s="48" t="n">
        <f aca="false">IFERROR('Data Sheet'!I27,0)</f>
        <v>0</v>
      </c>
      <c r="F8" s="48" t="n">
        <f aca="false">IFERROR('Data Sheet'!J27,0)</f>
        <v>0</v>
      </c>
      <c r="G8" s="48" t="n">
        <f aca="false">IFERROR('Data Sheet'!K27,0)</f>
        <v>0</v>
      </c>
      <c r="I8" s="49" t="s">
        <v>150</v>
      </c>
    </row>
    <row r="9" customFormat="false" ht="18" hidden="false" customHeight="true" outlineLevel="0" collapsed="false">
      <c r="B9" s="24" t="s">
        <v>151</v>
      </c>
      <c r="C9" s="48" t="n">
        <f aca="false">IFERROR('Data Sheet'!G26,0)</f>
        <v>0</v>
      </c>
      <c r="D9" s="48" t="n">
        <f aca="false">IFERROR('Data Sheet'!H26,0)</f>
        <v>0</v>
      </c>
      <c r="E9" s="48" t="n">
        <f aca="false">IFERROR('Data Sheet'!I26,0)</f>
        <v>0</v>
      </c>
      <c r="F9" s="48" t="n">
        <f aca="false">IFERROR('Data Sheet'!J26,0)</f>
        <v>0</v>
      </c>
      <c r="G9" s="48" t="n">
        <f aca="false">IFERROR('Data Sheet'!K26,0)</f>
        <v>0</v>
      </c>
      <c r="I9" s="49" t="s">
        <v>152</v>
      </c>
    </row>
    <row r="10" customFormat="false" ht="18" hidden="false" customHeight="true" outlineLevel="0" collapsed="false">
      <c r="B10" s="24" t="s">
        <v>153</v>
      </c>
      <c r="C10" s="48" t="n">
        <f aca="false">IFERROR('Data Sheet'!G28,0)</f>
        <v>0</v>
      </c>
      <c r="D10" s="48" t="n">
        <f aca="false">IFERROR('Data Sheet'!H28,0)</f>
        <v>0</v>
      </c>
      <c r="E10" s="48" t="n">
        <f aca="false">IFERROR('Data Sheet'!I28,0)</f>
        <v>0</v>
      </c>
      <c r="F10" s="48" t="n">
        <f aca="false">IFERROR('Data Sheet'!J28,0)</f>
        <v>0</v>
      </c>
      <c r="G10" s="48" t="n">
        <f aca="false">IFERROR('Data Sheet'!K28,0)</f>
        <v>0</v>
      </c>
      <c r="I10" s="49" t="s">
        <v>154</v>
      </c>
    </row>
    <row r="11" customFormat="false" ht="18" hidden="false" customHeight="true" outlineLevel="0" collapsed="false">
      <c r="B11" s="24" t="s">
        <v>155</v>
      </c>
      <c r="C11" s="51" t="n">
        <f aca="false">IFERROR('Data Sheet'!G29/'Data Sheet'!G28,0)</f>
        <v>0</v>
      </c>
      <c r="D11" s="51" t="n">
        <f aca="false">IFERROR('Data Sheet'!H29/'Data Sheet'!H28,0)</f>
        <v>0</v>
      </c>
      <c r="E11" s="51" t="n">
        <f aca="false">IFERROR('Data Sheet'!I29/'Data Sheet'!I28,0)</f>
        <v>0</v>
      </c>
      <c r="F11" s="51" t="n">
        <f aca="false">IFERROR('Data Sheet'!J29/'Data Sheet'!J28,0)</f>
        <v>0</v>
      </c>
      <c r="G11" s="51" t="n">
        <f aca="false">IFERROR('Data Sheet'!K29/'Data Sheet'!K28,0)</f>
        <v>0</v>
      </c>
      <c r="I11" s="49" t="s">
        <v>156</v>
      </c>
    </row>
    <row r="12" customFormat="false" ht="18" hidden="false" customHeight="true" outlineLevel="0" collapsed="false">
      <c r="B12" s="24" t="s">
        <v>157</v>
      </c>
      <c r="C12" s="48" t="n">
        <f aca="false">IFERROR('Data Sheet'!G29,0)</f>
        <v>0</v>
      </c>
      <c r="D12" s="48" t="n">
        <f aca="false">IFERROR('Data Sheet'!H29,0)</f>
        <v>0</v>
      </c>
      <c r="E12" s="48" t="n">
        <f aca="false">IFERROR('Data Sheet'!I29,0)</f>
        <v>0</v>
      </c>
      <c r="F12" s="48" t="n">
        <f aca="false">IFERROR('Data Sheet'!J29,0)</f>
        <v>0</v>
      </c>
      <c r="G12" s="48" t="n">
        <f aca="false">IFERROR('Data Sheet'!K29,0)</f>
        <v>0</v>
      </c>
      <c r="I12" s="52"/>
    </row>
    <row r="13" customFormat="false" ht="18" hidden="false" customHeight="true" outlineLevel="0" collapsed="false">
      <c r="B13" s="53" t="s">
        <v>158</v>
      </c>
      <c r="C13" s="54" t="n">
        <f aca="false">IFERROR(C12/C10,0)</f>
        <v>0</v>
      </c>
      <c r="D13" s="54" t="n">
        <f aca="false">IFERROR(D12/D10,0)</f>
        <v>0</v>
      </c>
      <c r="E13" s="54" t="n">
        <f aca="false">IFERROR(E12/E10,0)</f>
        <v>0</v>
      </c>
      <c r="F13" s="54" t="n">
        <f aca="false">IFERROR(F12/F10,0)</f>
        <v>0</v>
      </c>
      <c r="G13" s="54" t="n">
        <f aca="false">IFERROR(G12/G10,0)</f>
        <v>0</v>
      </c>
      <c r="I13" s="52"/>
    </row>
    <row r="14" customFormat="false" ht="18" hidden="false" customHeight="true" outlineLevel="0" collapsed="false">
      <c r="B14" s="24" t="s">
        <v>159</v>
      </c>
      <c r="C14" s="55" t="n">
        <f aca="false">IFERROR('Data Sheet'!G30,0)</f>
        <v>0</v>
      </c>
      <c r="D14" s="55" t="n">
        <f aca="false">IFERROR('Data Sheet'!H30,0)</f>
        <v>0</v>
      </c>
      <c r="E14" s="55" t="n">
        <f aca="false">IFERROR('Data Sheet'!I30,0)</f>
        <v>0</v>
      </c>
      <c r="F14" s="55" t="n">
        <f aca="false">IFERROR('Data Sheet'!J30,0)</f>
        <v>0</v>
      </c>
      <c r="G14" s="55" t="n">
        <f aca="false">IFERROR('Data Sheet'!K30,0)</f>
        <v>0</v>
      </c>
      <c r="I14" s="49" t="s">
        <v>160</v>
      </c>
    </row>
    <row r="15" customFormat="false" ht="18" hidden="false" customHeight="true" outlineLevel="0" collapsed="false">
      <c r="B15" s="24" t="s">
        <v>161</v>
      </c>
      <c r="C15" s="56"/>
      <c r="D15" s="56"/>
      <c r="E15" s="56"/>
      <c r="F15" s="56"/>
      <c r="G15" s="56"/>
      <c r="I15" s="49" t="s">
        <v>162</v>
      </c>
    </row>
    <row r="16" customFormat="false" ht="18" hidden="false" customHeight="true" outlineLevel="0" collapsed="false">
      <c r="B16" s="24" t="s">
        <v>163</v>
      </c>
      <c r="C16" s="50" t="n">
        <f aca="false">IFERROR(C14+C15,0)</f>
        <v>0</v>
      </c>
      <c r="D16" s="50" t="n">
        <f aca="false">IFERROR(D14+D15,0)</f>
        <v>0</v>
      </c>
      <c r="E16" s="50" t="n">
        <f aca="false">IFERROR(E14+E15,0)</f>
        <v>0</v>
      </c>
      <c r="F16" s="50" t="n">
        <f aca="false">IFERROR(F14+F15,0)</f>
        <v>0</v>
      </c>
      <c r="G16" s="50" t="n">
        <f aca="false">IFERROR(G14+G15,0)</f>
        <v>0</v>
      </c>
      <c r="I16" s="52"/>
    </row>
    <row r="17" customFormat="false" ht="19.5" hidden="false" customHeight="true" outlineLevel="0" collapsed="false">
      <c r="B17" s="45" t="s">
        <v>144</v>
      </c>
      <c r="C17" s="45"/>
      <c r="D17" s="45"/>
      <c r="E17" s="45"/>
      <c r="F17" s="45"/>
      <c r="G17" s="45"/>
      <c r="H17" s="45"/>
      <c r="I17" s="45"/>
    </row>
    <row r="18" customFormat="false" ht="18" hidden="false" customHeight="true" outlineLevel="0" collapsed="false">
      <c r="B18" s="24" t="s">
        <v>164</v>
      </c>
      <c r="C18" s="50" t="n">
        <f aca="false">IFERROR(C6-C9,0)</f>
        <v>0</v>
      </c>
      <c r="D18" s="50" t="n">
        <f aca="false">IFERROR(D6-D9,0)</f>
        <v>0</v>
      </c>
      <c r="E18" s="50" t="n">
        <f aca="false">IFERROR(E6-E9,0)</f>
        <v>0</v>
      </c>
      <c r="F18" s="50" t="n">
        <f aca="false">IFERROR(F6-F9,0)</f>
        <v>0</v>
      </c>
      <c r="G18" s="50" t="n">
        <f aca="false">IFERROR(G6-G9,0)</f>
        <v>0</v>
      </c>
      <c r="I18" s="52"/>
    </row>
    <row r="19" customFormat="false" ht="18" hidden="false" customHeight="true" outlineLevel="0" collapsed="false">
      <c r="B19" s="24" t="s">
        <v>74</v>
      </c>
      <c r="C19" s="51" t="n">
        <f aca="false">IFERROR(C6/C5,0)</f>
        <v>0</v>
      </c>
      <c r="D19" s="51" t="n">
        <f aca="false">IFERROR(D6/D5,0)</f>
        <v>0</v>
      </c>
      <c r="E19" s="51" t="n">
        <f aca="false">IFERROR(E6/E5,0)</f>
        <v>0</v>
      </c>
      <c r="F19" s="51" t="n">
        <f aca="false">IFERROR(F6/F5,0)</f>
        <v>0</v>
      </c>
      <c r="G19" s="51" t="n">
        <f aca="false">IFERROR(G6/G5,0)</f>
        <v>0</v>
      </c>
      <c r="I19" s="57" t="s">
        <v>165</v>
      </c>
    </row>
    <row r="20" customFormat="false" ht="18" hidden="false" customHeight="true" outlineLevel="0" collapsed="false">
      <c r="B20" s="32" t="s">
        <v>166</v>
      </c>
      <c r="C20" s="51" t="n">
        <f aca="false">IFERROR(C16/C5,0)</f>
        <v>0</v>
      </c>
      <c r="D20" s="51" t="n">
        <f aca="false">IFERROR(D16/D5,0)</f>
        <v>0</v>
      </c>
      <c r="E20" s="51" t="n">
        <f aca="false">IFERROR(E16/E5,0)</f>
        <v>0</v>
      </c>
      <c r="F20" s="51" t="n">
        <f aca="false">IFERROR(F16/F5,0)</f>
        <v>0</v>
      </c>
      <c r="G20" s="51" t="n">
        <f aca="false">IFERROR(G16/G5,0)</f>
        <v>0</v>
      </c>
      <c r="I20" s="52"/>
    </row>
    <row r="21" customFormat="false" ht="18" hidden="false" customHeight="true" outlineLevel="0" collapsed="false">
      <c r="B21" s="24" t="s">
        <v>167</v>
      </c>
      <c r="C21" s="51" t="s">
        <v>168</v>
      </c>
      <c r="D21" s="51" t="n">
        <f aca="false">IFERROR((D5-C5)/C5,0)</f>
        <v>0</v>
      </c>
      <c r="E21" s="51" t="n">
        <f aca="false">IFERROR((E5-D5)/D5,0)</f>
        <v>0</v>
      </c>
      <c r="F21" s="51" t="n">
        <f aca="false">IFERROR((F5-E5)/E5,0)</f>
        <v>0</v>
      </c>
      <c r="G21" s="51" t="n">
        <f aca="false">IFERROR((G5-F5)/F5,0)</f>
        <v>0</v>
      </c>
      <c r="I21" s="57" t="s">
        <v>169</v>
      </c>
    </row>
    <row r="22" customFormat="false" ht="18" hidden="false" customHeight="true" outlineLevel="0" collapsed="false"/>
    <row r="23" customFormat="false" ht="21.75" hidden="false" customHeight="true" outlineLevel="0" collapsed="false">
      <c r="B23" s="13" t="s">
        <v>170</v>
      </c>
      <c r="C23" s="13"/>
      <c r="D23" s="13"/>
      <c r="E23" s="13"/>
      <c r="F23" s="13"/>
      <c r="G23" s="13"/>
      <c r="H23" s="13"/>
      <c r="I23" s="13"/>
    </row>
    <row r="24" customFormat="false" ht="21.75" hidden="false" customHeight="true" outlineLevel="0" collapsed="false">
      <c r="B24" s="58" t="s">
        <v>171</v>
      </c>
      <c r="C24" s="58"/>
      <c r="D24" s="58"/>
      <c r="E24" s="58"/>
      <c r="F24" s="58"/>
      <c r="G24" s="58"/>
      <c r="H24" s="58"/>
    </row>
    <row r="25" customFormat="false" ht="19.5" hidden="false" customHeight="true" outlineLevel="0" collapsed="false">
      <c r="B25" s="45" t="s">
        <v>144</v>
      </c>
      <c r="C25" s="46" t="str">
        <f aca="false">IFERROR("FY"&amp;TEXT('Data Sheet'!G16,"YYYY"),"FY2022")</f>
        <v>FY1899</v>
      </c>
      <c r="D25" s="46" t="str">
        <f aca="false">IFERROR("FY"&amp;TEXT('Data Sheet'!H16,"YYYY"),"FY2023")</f>
        <v>FY1899</v>
      </c>
      <c r="E25" s="46" t="str">
        <f aca="false">IFERROR("FY"&amp;TEXT('Data Sheet'!I16,"YYYY"),"FY2024")</f>
        <v>FY1899</v>
      </c>
      <c r="F25" s="46" t="str">
        <f aca="false">IFERROR("FY"&amp;TEXT('Data Sheet'!J16,"YYYY"),"FY2025")</f>
        <v>FY1899</v>
      </c>
      <c r="G25" s="46" t="str">
        <f aca="false">IFERROR("FY"&amp;TEXT('Data Sheet'!K16,"YYYY"),"FY2026")</f>
        <v>FY1899</v>
      </c>
    </row>
    <row r="26" customFormat="false" ht="18" hidden="false" customHeight="true" outlineLevel="0" collapsed="false">
      <c r="B26" s="24" t="s">
        <v>172</v>
      </c>
      <c r="C26" s="48" t="n">
        <f aca="false">IFERROR('Data Sheet'!G57,0)</f>
        <v>0</v>
      </c>
      <c r="D26" s="48" t="n">
        <f aca="false">IFERROR('Data Sheet'!H57,0)</f>
        <v>0</v>
      </c>
      <c r="E26" s="48" t="n">
        <f aca="false">IFERROR('Data Sheet'!I57,0)</f>
        <v>0</v>
      </c>
      <c r="F26" s="48" t="n">
        <f aca="false">IFERROR('Data Sheet'!J57,0)</f>
        <v>0</v>
      </c>
      <c r="G26" s="48" t="n">
        <f aca="false">IFERROR('Data Sheet'!K57,0)</f>
        <v>0</v>
      </c>
      <c r="I26" s="59" t="s">
        <v>173</v>
      </c>
    </row>
    <row r="27" customFormat="false" ht="18" hidden="false" customHeight="true" outlineLevel="0" collapsed="false">
      <c r="B27" s="24" t="s">
        <v>32</v>
      </c>
      <c r="C27" s="48" t="n">
        <f aca="false">IFERROR('Data Sheet'!G58,0)</f>
        <v>0</v>
      </c>
      <c r="D27" s="48" t="n">
        <f aca="false">IFERROR('Data Sheet'!H58,0)</f>
        <v>0</v>
      </c>
      <c r="E27" s="48" t="n">
        <f aca="false">IFERROR('Data Sheet'!I58,0)</f>
        <v>0</v>
      </c>
      <c r="F27" s="48" t="n">
        <f aca="false">IFERROR('Data Sheet'!J58,0)</f>
        <v>0</v>
      </c>
      <c r="G27" s="48" t="n">
        <f aca="false">IFERROR('Data Sheet'!K58,0)</f>
        <v>0</v>
      </c>
      <c r="I27" s="59" t="s">
        <v>174</v>
      </c>
    </row>
    <row r="28" customFormat="false" ht="18" hidden="false" customHeight="true" outlineLevel="0" collapsed="false">
      <c r="B28" s="24" t="s">
        <v>175</v>
      </c>
      <c r="C28" s="50" t="n">
        <f aca="false">IFERROR(C26+C27,0)</f>
        <v>0</v>
      </c>
      <c r="D28" s="50" t="n">
        <f aca="false">IFERROR(D26+D27,0)</f>
        <v>0</v>
      </c>
      <c r="E28" s="50" t="n">
        <f aca="false">IFERROR(E26+E27,0)</f>
        <v>0</v>
      </c>
      <c r="F28" s="50" t="n">
        <f aca="false">IFERROR(F26+F27,0)</f>
        <v>0</v>
      </c>
      <c r="G28" s="50" t="n">
        <f aca="false">IFERROR(G26+G27,0)</f>
        <v>0</v>
      </c>
      <c r="I28" s="52"/>
    </row>
    <row r="29" customFormat="false" ht="18" hidden="false" customHeight="true" outlineLevel="0" collapsed="false">
      <c r="B29" s="24" t="s">
        <v>176</v>
      </c>
      <c r="C29" s="48" t="n">
        <f aca="false">IFERROR('Data Sheet'!G59,0)</f>
        <v>0</v>
      </c>
      <c r="D29" s="48" t="n">
        <f aca="false">IFERROR('Data Sheet'!H59,0)</f>
        <v>0</v>
      </c>
      <c r="E29" s="48" t="n">
        <f aca="false">IFERROR('Data Sheet'!I59,0)</f>
        <v>0</v>
      </c>
      <c r="F29" s="48" t="n">
        <f aca="false">IFERROR('Data Sheet'!J59,0)</f>
        <v>0</v>
      </c>
      <c r="G29" s="48" t="n">
        <f aca="false">IFERROR('Data Sheet'!K59,0)</f>
        <v>0</v>
      </c>
      <c r="I29" s="59" t="s">
        <v>177</v>
      </c>
    </row>
    <row r="30" customFormat="false" ht="18" hidden="false" customHeight="true" outlineLevel="0" collapsed="false">
      <c r="B30" s="24" t="s">
        <v>178</v>
      </c>
      <c r="C30" s="60"/>
      <c r="D30" s="60"/>
      <c r="E30" s="60"/>
      <c r="F30" s="61"/>
      <c r="G30" s="61"/>
      <c r="I30" s="59" t="s">
        <v>179</v>
      </c>
    </row>
    <row r="31" customFormat="false" ht="18" hidden="false" customHeight="true" outlineLevel="0" collapsed="false">
      <c r="B31" s="24" t="s">
        <v>180</v>
      </c>
      <c r="C31" s="61"/>
      <c r="D31" s="61"/>
      <c r="E31" s="61"/>
      <c r="F31" s="60"/>
      <c r="G31" s="61"/>
      <c r="I31" s="59" t="s">
        <v>181</v>
      </c>
    </row>
    <row r="32" customFormat="false" ht="18" hidden="false" customHeight="true" outlineLevel="0" collapsed="false">
      <c r="B32" s="24" t="s">
        <v>182</v>
      </c>
      <c r="C32" s="60"/>
      <c r="D32" s="60"/>
      <c r="E32" s="60"/>
      <c r="F32" s="60"/>
      <c r="G32" s="60"/>
      <c r="I32" s="59" t="s">
        <v>183</v>
      </c>
    </row>
    <row r="33" customFormat="false" ht="18" hidden="false" customHeight="true" outlineLevel="0" collapsed="false">
      <c r="B33" s="24" t="s">
        <v>184</v>
      </c>
      <c r="C33" s="61"/>
      <c r="D33" s="61"/>
      <c r="E33" s="61"/>
      <c r="F33" s="61"/>
      <c r="G33" s="61"/>
      <c r="I33" s="59" t="s">
        <v>185</v>
      </c>
    </row>
    <row r="34" customFormat="false" ht="18" hidden="false" customHeight="true" outlineLevel="0" collapsed="false">
      <c r="B34" s="24" t="s">
        <v>186</v>
      </c>
      <c r="C34" s="60"/>
      <c r="D34" s="60"/>
      <c r="E34" s="60"/>
      <c r="F34" s="60"/>
      <c r="G34" s="60"/>
      <c r="I34" s="59" t="s">
        <v>187</v>
      </c>
    </row>
    <row r="35" customFormat="false" ht="18" hidden="false" customHeight="true" outlineLevel="0" collapsed="false">
      <c r="B35" s="24" t="s">
        <v>188</v>
      </c>
      <c r="C35" s="61"/>
      <c r="D35" s="61"/>
      <c r="E35" s="61"/>
      <c r="F35" s="61"/>
      <c r="G35" s="61"/>
      <c r="I35" s="59" t="s">
        <v>189</v>
      </c>
    </row>
    <row r="36" customFormat="false" ht="18" hidden="false" customHeight="true" outlineLevel="0" collapsed="false">
      <c r="B36" s="24" t="s">
        <v>190</v>
      </c>
      <c r="C36" s="60"/>
      <c r="D36" s="60"/>
      <c r="E36" s="60"/>
      <c r="F36" s="60"/>
      <c r="G36" s="60"/>
      <c r="I36" s="59" t="s">
        <v>191</v>
      </c>
    </row>
    <row r="37" customFormat="false" ht="18" hidden="false" customHeight="true" outlineLevel="0" collapsed="false">
      <c r="B37" s="24" t="s">
        <v>192</v>
      </c>
      <c r="C37" s="62" t="n">
        <f aca="false">SUM(C28:C29,C33:C36)</f>
        <v>0</v>
      </c>
      <c r="D37" s="62" t="n">
        <f aca="false">SUM(D28:D29,D33:D36)</f>
        <v>0</v>
      </c>
      <c r="E37" s="62" t="n">
        <f aca="false">SUM(E28:E29,E33:E36)</f>
        <v>0</v>
      </c>
      <c r="F37" s="62" t="n">
        <f aca="false">SUM(F28:F29,F33:F36)</f>
        <v>0</v>
      </c>
      <c r="G37" s="62" t="n">
        <f aca="false">SUM(G28:G29,G33:G36)</f>
        <v>0</v>
      </c>
      <c r="I37" s="52" t="s">
        <v>193</v>
      </c>
    </row>
    <row r="38" customFormat="false" ht="18" hidden="false" customHeight="true" outlineLevel="0" collapsed="false">
      <c r="B38" s="63" t="s">
        <v>194</v>
      </c>
    </row>
    <row r="39" customFormat="false" ht="19.5" hidden="false" customHeight="true" outlineLevel="0" collapsed="false">
      <c r="B39" s="64" t="s">
        <v>144</v>
      </c>
      <c r="C39" s="64"/>
      <c r="D39" s="64"/>
      <c r="E39" s="64"/>
      <c r="F39" s="64"/>
      <c r="G39" s="64"/>
      <c r="H39" s="64"/>
    </row>
    <row r="40" customFormat="false" ht="18" hidden="false" customHeight="true" outlineLevel="0" collapsed="false">
      <c r="B40" s="24" t="s">
        <v>195</v>
      </c>
      <c r="C40" s="65" t="n">
        <f aca="false">IFERROR('Data Sheet'!G62,0)</f>
        <v>0</v>
      </c>
      <c r="D40" s="65" t="n">
        <f aca="false">IFERROR('Data Sheet'!H62,0)</f>
        <v>0</v>
      </c>
      <c r="E40" s="65" t="n">
        <f aca="false">IFERROR('Data Sheet'!I62,0)</f>
        <v>0</v>
      </c>
      <c r="F40" s="65" t="n">
        <f aca="false">IFERROR('Data Sheet'!J62,0)</f>
        <v>0</v>
      </c>
      <c r="G40" s="65" t="n">
        <f aca="false">IFERROR('Data Sheet'!K62,0)</f>
        <v>0</v>
      </c>
      <c r="I40" s="59" t="s">
        <v>196</v>
      </c>
    </row>
    <row r="41" customFormat="false" ht="18" hidden="false" customHeight="true" outlineLevel="0" collapsed="false">
      <c r="B41" s="24" t="s">
        <v>197</v>
      </c>
      <c r="C41" s="65" t="n">
        <f aca="false">IFERROR('Data Sheet'!G63,0)</f>
        <v>0</v>
      </c>
      <c r="D41" s="65" t="n">
        <f aca="false">IFERROR('Data Sheet'!H63,0)</f>
        <v>0</v>
      </c>
      <c r="E41" s="65" t="n">
        <f aca="false">IFERROR('Data Sheet'!I63,0)</f>
        <v>0</v>
      </c>
      <c r="F41" s="65" t="n">
        <f aca="false">IFERROR('Data Sheet'!J63,0)</f>
        <v>0</v>
      </c>
      <c r="G41" s="65" t="n">
        <f aca="false">IFERROR('Data Sheet'!K63,0)</f>
        <v>0</v>
      </c>
      <c r="I41" s="59" t="s">
        <v>198</v>
      </c>
    </row>
    <row r="42" customFormat="false" ht="18" hidden="false" customHeight="true" outlineLevel="0" collapsed="false">
      <c r="B42" s="24" t="s">
        <v>38</v>
      </c>
      <c r="C42" s="65" t="n">
        <f aca="false">IFERROR('Data Sheet'!G64,0)</f>
        <v>0</v>
      </c>
      <c r="D42" s="65" t="n">
        <f aca="false">IFERROR('Data Sheet'!H64,0)</f>
        <v>0</v>
      </c>
      <c r="E42" s="65" t="n">
        <f aca="false">IFERROR('Data Sheet'!I64,0)</f>
        <v>0</v>
      </c>
      <c r="F42" s="65" t="n">
        <f aca="false">IFERROR('Data Sheet'!J64,0)</f>
        <v>0</v>
      </c>
      <c r="G42" s="65" t="n">
        <f aca="false">IFERROR('Data Sheet'!K64,0)</f>
        <v>0</v>
      </c>
      <c r="I42" s="59" t="s">
        <v>199</v>
      </c>
    </row>
    <row r="43" customFormat="false" ht="18" hidden="false" customHeight="true" outlineLevel="0" collapsed="false">
      <c r="B43" s="24" t="s">
        <v>200</v>
      </c>
      <c r="C43" s="65" t="n">
        <f aca="false">IFERROR('Data Sheet'!G68,0)</f>
        <v>0</v>
      </c>
      <c r="D43" s="65" t="n">
        <f aca="false">IFERROR('Data Sheet'!H68,0)</f>
        <v>0</v>
      </c>
      <c r="E43" s="65" t="n">
        <f aca="false">IFERROR('Data Sheet'!I68,0)</f>
        <v>0</v>
      </c>
      <c r="F43" s="65" t="n">
        <f aca="false">IFERROR('Data Sheet'!J68,0)</f>
        <v>0</v>
      </c>
      <c r="G43" s="65" t="n">
        <f aca="false">IFERROR('Data Sheet'!K68,0)</f>
        <v>0</v>
      </c>
      <c r="I43" s="59" t="s">
        <v>201</v>
      </c>
    </row>
    <row r="44" customFormat="false" ht="18" hidden="false" customHeight="true" outlineLevel="0" collapsed="false">
      <c r="B44" s="24" t="s">
        <v>202</v>
      </c>
      <c r="C44" s="65" t="n">
        <f aca="false">IFERROR('Data Sheet'!G67,0)</f>
        <v>0</v>
      </c>
      <c r="D44" s="65" t="n">
        <f aca="false">IFERROR('Data Sheet'!H67,0)</f>
        <v>0</v>
      </c>
      <c r="E44" s="65" t="n">
        <f aca="false">IFERROR('Data Sheet'!I67,0)</f>
        <v>0</v>
      </c>
      <c r="F44" s="65" t="n">
        <f aca="false">IFERROR('Data Sheet'!J67,0)</f>
        <v>0</v>
      </c>
      <c r="G44" s="65" t="n">
        <f aca="false">IFERROR('Data Sheet'!K67,0)</f>
        <v>0</v>
      </c>
      <c r="I44" s="59" t="s">
        <v>203</v>
      </c>
    </row>
    <row r="45" customFormat="false" ht="18" hidden="false" customHeight="true" outlineLevel="0" collapsed="false">
      <c r="B45" s="24" t="s">
        <v>204</v>
      </c>
      <c r="C45" s="65" t="n">
        <f aca="false">IFERROR('Data Sheet'!G69,0)</f>
        <v>0</v>
      </c>
      <c r="D45" s="65" t="n">
        <f aca="false">IFERROR('Data Sheet'!H69,0)</f>
        <v>0</v>
      </c>
      <c r="E45" s="65" t="n">
        <f aca="false">IFERROR('Data Sheet'!I69,0)</f>
        <v>0</v>
      </c>
      <c r="F45" s="65" t="n">
        <f aca="false">IFERROR('Data Sheet'!J69,0)</f>
        <v>0</v>
      </c>
      <c r="G45" s="65" t="n">
        <f aca="false">IFERROR('Data Sheet'!K69,0)</f>
        <v>0</v>
      </c>
      <c r="I45" s="59" t="s">
        <v>205</v>
      </c>
    </row>
    <row r="46" customFormat="false" ht="18" hidden="false" customHeight="true" outlineLevel="0" collapsed="false">
      <c r="B46" s="24" t="s">
        <v>206</v>
      </c>
      <c r="C46" s="60"/>
      <c r="D46" s="60"/>
      <c r="E46" s="60"/>
      <c r="F46" s="60"/>
      <c r="G46" s="60"/>
      <c r="I46" s="59" t="s">
        <v>207</v>
      </c>
    </row>
    <row r="47" customFormat="false" ht="18" hidden="false" customHeight="true" outlineLevel="0" collapsed="false">
      <c r="B47" s="24" t="s">
        <v>208</v>
      </c>
      <c r="C47" s="60"/>
      <c r="D47" s="60"/>
      <c r="E47" s="60"/>
      <c r="F47" s="60"/>
      <c r="G47" s="60"/>
      <c r="I47" s="59" t="s">
        <v>209</v>
      </c>
    </row>
    <row r="48" customFormat="false" ht="18" hidden="false" customHeight="true" outlineLevel="0" collapsed="false">
      <c r="B48" s="24" t="s">
        <v>210</v>
      </c>
      <c r="C48" s="62" t="n">
        <f aca="false">IFERROR(C40+C41+C42+C43+C44+C45+C46+C47,0)</f>
        <v>0</v>
      </c>
      <c r="D48" s="62" t="n">
        <f aca="false">IFERROR(D40+D41+D42+D43+D44+D45+D46+D47,0)</f>
        <v>0</v>
      </c>
      <c r="E48" s="62" t="n">
        <f aca="false">IFERROR(E40+E41+E42+E43+E44+E45+E46+E47,0)</f>
        <v>0</v>
      </c>
      <c r="F48" s="62" t="n">
        <f aca="false">IFERROR(F40+F41+F42+F43+F44+F45+F46+F47,0)</f>
        <v>0</v>
      </c>
      <c r="G48" s="62" t="n">
        <f aca="false">IFERROR(G40+G41+G42+G43+G44+G45+G46+G47,0)</f>
        <v>0</v>
      </c>
      <c r="I48" s="52"/>
    </row>
    <row r="49" customFormat="false" ht="18" hidden="false" customHeight="true" outlineLevel="0" collapsed="false"/>
    <row r="50" customFormat="false" ht="21.75" hidden="false" customHeight="true" outlineLevel="0" collapsed="false">
      <c r="B50" s="66" t="s">
        <v>211</v>
      </c>
      <c r="C50" s="67" t="n">
        <f aca="false">C48-C37</f>
        <v>0</v>
      </c>
      <c r="D50" s="67" t="n">
        <f aca="false">D48-D37</f>
        <v>0</v>
      </c>
      <c r="E50" s="67" t="n">
        <f aca="false">E48-E37</f>
        <v>0</v>
      </c>
      <c r="F50" s="67" t="n">
        <f aca="false">F48-F37</f>
        <v>0</v>
      </c>
      <c r="G50" s="67" t="n">
        <f aca="false">G48-G37</f>
        <v>0</v>
      </c>
      <c r="I50" s="52" t="s">
        <v>212</v>
      </c>
    </row>
    <row r="51" customFormat="false" ht="18" hidden="false" customHeight="true" outlineLevel="0" collapsed="false"/>
    <row r="52" customFormat="false" ht="21.75" hidden="false" customHeight="true" outlineLevel="0" collapsed="false">
      <c r="B52" s="13" t="s">
        <v>213</v>
      </c>
      <c r="C52" s="13"/>
      <c r="D52" s="13"/>
      <c r="E52" s="13"/>
      <c r="F52" s="13"/>
      <c r="G52" s="13"/>
      <c r="H52" s="13"/>
      <c r="I52" s="13"/>
    </row>
    <row r="53" customFormat="false" ht="19.5" hidden="false" customHeight="true" outlineLevel="0" collapsed="false">
      <c r="B53" s="45" t="s">
        <v>144</v>
      </c>
      <c r="C53" s="68" t="str">
        <f aca="false">IFERROR("FY"&amp;TEXT('Data Sheet'!G16,"YYYY"),"FY2022")</f>
        <v>FY1899</v>
      </c>
      <c r="D53" s="68" t="str">
        <f aca="false">IFERROR("FY"&amp;TEXT('Data Sheet'!H16,"YYYY"),"FY2023")</f>
        <v>FY1899</v>
      </c>
      <c r="E53" s="68" t="str">
        <f aca="false">IFERROR("FY"&amp;TEXT('Data Sheet'!I16,"YYYY"),"FY2024")</f>
        <v>FY1899</v>
      </c>
      <c r="F53" s="68" t="str">
        <f aca="false">IFERROR("FY"&amp;TEXT('Data Sheet'!J16,"YYYY"),"FY2025")</f>
        <v>FY1899</v>
      </c>
      <c r="G53" s="68" t="str">
        <f aca="false">IFERROR("FY"&amp;TEXT('Data Sheet'!K16,"YYYY"),"FY2026")</f>
        <v>FY1899</v>
      </c>
    </row>
    <row r="54" customFormat="false" ht="18" hidden="false" customHeight="true" outlineLevel="0" collapsed="false">
      <c r="B54" s="24" t="s">
        <v>47</v>
      </c>
      <c r="C54" s="55" t="n">
        <f aca="false">IFERROR('Data Sheet'!G82,0)</f>
        <v>0</v>
      </c>
      <c r="D54" s="55" t="n">
        <f aca="false">IFERROR('Data Sheet'!H82,0)</f>
        <v>0</v>
      </c>
      <c r="E54" s="55" t="n">
        <f aca="false">IFERROR('Data Sheet'!I82,0)</f>
        <v>0</v>
      </c>
      <c r="F54" s="55" t="n">
        <f aca="false">IFERROR('Data Sheet'!J82,0)</f>
        <v>0</v>
      </c>
      <c r="G54" s="55" t="n">
        <f aca="false">IFERROR('Data Sheet'!K82,0)</f>
        <v>0</v>
      </c>
      <c r="I54" s="59" t="s">
        <v>214</v>
      </c>
    </row>
    <row r="55" customFormat="false" ht="18" hidden="false" customHeight="true" outlineLevel="0" collapsed="false">
      <c r="B55" s="24" t="s">
        <v>215</v>
      </c>
      <c r="C55" s="56"/>
      <c r="D55" s="69"/>
      <c r="E55" s="69"/>
      <c r="F55" s="69"/>
      <c r="G55" s="69"/>
      <c r="I55" s="59" t="s">
        <v>216</v>
      </c>
    </row>
    <row r="56" customFormat="false" ht="18" hidden="false" customHeight="true" outlineLevel="0" collapsed="false">
      <c r="B56" s="24" t="s">
        <v>48</v>
      </c>
      <c r="C56" s="55" t="n">
        <f aca="false">IFERROR('Data Sheet'!G83,0)</f>
        <v>0</v>
      </c>
      <c r="D56" s="55" t="n">
        <f aca="false">IFERROR('Data Sheet'!H83,0)</f>
        <v>0</v>
      </c>
      <c r="E56" s="55" t="n">
        <f aca="false">IFERROR('Data Sheet'!I83,0)</f>
        <v>0</v>
      </c>
      <c r="F56" s="55" t="n">
        <f aca="false">IFERROR('Data Sheet'!J83,0)</f>
        <v>0</v>
      </c>
      <c r="G56" s="55" t="n">
        <f aca="false">IFERROR('Data Sheet'!K83,0)</f>
        <v>0</v>
      </c>
      <c r="I56" s="59" t="s">
        <v>217</v>
      </c>
    </row>
    <row r="57" customFormat="false" ht="18" hidden="false" customHeight="true" outlineLevel="0" collapsed="false">
      <c r="B57" s="24" t="s">
        <v>218</v>
      </c>
      <c r="C57" s="70"/>
      <c r="D57" s="70"/>
      <c r="E57" s="70"/>
      <c r="F57" s="70"/>
      <c r="G57" s="70"/>
      <c r="I57" s="59" t="s">
        <v>219</v>
      </c>
    </row>
    <row r="58" customFormat="false" ht="18" hidden="false" customHeight="true" outlineLevel="0" collapsed="false">
      <c r="B58" s="24" t="s">
        <v>220</v>
      </c>
      <c r="C58" s="70"/>
      <c r="D58" s="70"/>
      <c r="E58" s="70"/>
      <c r="F58" s="70"/>
      <c r="G58" s="70"/>
      <c r="I58" s="52" t="s">
        <v>221</v>
      </c>
    </row>
    <row r="59" customFormat="false" ht="18" hidden="false" customHeight="true" outlineLevel="0" collapsed="false"/>
    <row r="60" customFormat="false" ht="21.75" hidden="false" customHeight="true" outlineLevel="0" collapsed="false">
      <c r="B60" s="13" t="s">
        <v>222</v>
      </c>
      <c r="C60" s="13"/>
      <c r="D60" s="13"/>
      <c r="E60" s="13"/>
      <c r="F60" s="13"/>
      <c r="G60" s="13"/>
      <c r="H60" s="13"/>
      <c r="I60" s="13"/>
    </row>
    <row r="61" customFormat="false" ht="19.5" hidden="false" customHeight="true" outlineLevel="0" collapsed="false">
      <c r="B61" s="45" t="s">
        <v>144</v>
      </c>
      <c r="C61" s="46" t="str">
        <f aca="false">IFERROR("FY"&amp;TEXT('Data Sheet'!G16,"YYYY"),"FY2022")</f>
        <v>FY1899</v>
      </c>
      <c r="D61" s="46" t="str">
        <f aca="false">IFERROR("FY"&amp;TEXT('Data Sheet'!H16,"YYYY"),"FY2023")</f>
        <v>FY1899</v>
      </c>
      <c r="E61" s="46" t="str">
        <f aca="false">IFERROR("FY"&amp;TEXT('Data Sheet'!I16,"YYYY"),"FY2024")</f>
        <v>FY1899</v>
      </c>
      <c r="F61" s="46" t="str">
        <f aca="false">IFERROR("FY"&amp;TEXT('Data Sheet'!J16,"YYYY"),"FY2025")</f>
        <v>FY1899</v>
      </c>
      <c r="G61" s="46" t="str">
        <f aca="false">IFERROR("FY"&amp;TEXT('Data Sheet'!K16,"YYYY"),"FY2026")</f>
        <v>FY1899</v>
      </c>
    </row>
    <row r="62" customFormat="false" ht="18" hidden="false" customHeight="true" outlineLevel="0" collapsed="false">
      <c r="B62" s="24" t="s">
        <v>223</v>
      </c>
      <c r="C62" s="71" t="n">
        <f aca="false">C29</f>
        <v>0</v>
      </c>
      <c r="D62" s="71" t="n">
        <f aca="false">D29</f>
        <v>0</v>
      </c>
      <c r="E62" s="71" t="n">
        <f aca="false">E29</f>
        <v>0</v>
      </c>
      <c r="F62" s="71" t="n">
        <f aca="false">F29</f>
        <v>0</v>
      </c>
      <c r="G62" s="71" t="n">
        <f aca="false">G29</f>
        <v>0</v>
      </c>
      <c r="I62" s="52" t="s">
        <v>224</v>
      </c>
    </row>
    <row r="63" customFormat="false" ht="18" hidden="false" customHeight="true" outlineLevel="0" collapsed="false">
      <c r="B63" s="24" t="s">
        <v>225</v>
      </c>
      <c r="C63" s="71" t="n">
        <f aca="false">C45</f>
        <v>0</v>
      </c>
      <c r="D63" s="71" t="n">
        <f aca="false">D45</f>
        <v>0</v>
      </c>
      <c r="E63" s="71" t="n">
        <f aca="false">E45</f>
        <v>0</v>
      </c>
      <c r="F63" s="71" t="n">
        <f aca="false">F45</f>
        <v>0</v>
      </c>
      <c r="G63" s="71" t="n">
        <f aca="false">G45</f>
        <v>0</v>
      </c>
      <c r="I63" s="52" t="s">
        <v>224</v>
      </c>
    </row>
    <row r="64" customFormat="false" ht="18" hidden="false" customHeight="true" outlineLevel="0" collapsed="false">
      <c r="B64" s="24" t="s">
        <v>38</v>
      </c>
      <c r="C64" s="71" t="n">
        <f aca="false">C42</f>
        <v>0</v>
      </c>
      <c r="D64" s="71" t="n">
        <f aca="false">D42</f>
        <v>0</v>
      </c>
      <c r="E64" s="71" t="n">
        <f aca="false">E42</f>
        <v>0</v>
      </c>
      <c r="F64" s="71" t="n">
        <f aca="false">F42</f>
        <v>0</v>
      </c>
      <c r="G64" s="71" t="n">
        <f aca="false">G42</f>
        <v>0</v>
      </c>
      <c r="I64" s="52" t="s">
        <v>224</v>
      </c>
    </row>
    <row r="65" customFormat="false" ht="18" hidden="false" customHeight="true" outlineLevel="0" collapsed="false">
      <c r="B65" s="72" t="s">
        <v>226</v>
      </c>
      <c r="C65" s="71" t="n">
        <f aca="false">IFERROR(C62-C63-C42,0)</f>
        <v>0</v>
      </c>
      <c r="D65" s="71" t="n">
        <f aca="false">IFERROR(D62-D63-D42,0)</f>
        <v>0</v>
      </c>
      <c r="E65" s="71" t="n">
        <f aca="false">IFERROR(E62-E63-E42,0)</f>
        <v>0</v>
      </c>
      <c r="F65" s="71" t="n">
        <f aca="false">IFERROR(F62-F63-F42,0)</f>
        <v>0</v>
      </c>
      <c r="G65" s="71" t="n">
        <f aca="false">IFERROR(G62-G63-G42,0)</f>
        <v>0</v>
      </c>
      <c r="I65" s="52" t="s">
        <v>227</v>
      </c>
    </row>
    <row r="66" customFormat="false" ht="18" hidden="false" customHeight="true" outlineLevel="0" collapsed="false">
      <c r="B66" s="24" t="s">
        <v>184</v>
      </c>
      <c r="C66" s="71" t="n">
        <f aca="false">C33</f>
        <v>0</v>
      </c>
      <c r="D66" s="71" t="n">
        <f aca="false">D33</f>
        <v>0</v>
      </c>
      <c r="E66" s="71" t="n">
        <f aca="false">E33</f>
        <v>0</v>
      </c>
      <c r="F66" s="71" t="n">
        <f aca="false">F33</f>
        <v>0</v>
      </c>
      <c r="G66" s="71" t="n">
        <f aca="false">G33</f>
        <v>0</v>
      </c>
      <c r="I66" s="52" t="s">
        <v>224</v>
      </c>
    </row>
    <row r="67" customFormat="false" ht="18" hidden="false" customHeight="true" outlineLevel="0" collapsed="false">
      <c r="B67" s="24" t="s">
        <v>228</v>
      </c>
      <c r="C67" s="71" t="n">
        <f aca="false">C44+C43-C34-C35</f>
        <v>0</v>
      </c>
      <c r="D67" s="71" t="n">
        <f aca="false">D44+D43-D34-D35</f>
        <v>0</v>
      </c>
      <c r="E67" s="71" t="n">
        <f aca="false">E44+E43-E34-E35</f>
        <v>0</v>
      </c>
      <c r="F67" s="71" t="n">
        <f aca="false">F44+F43-F34-F35</f>
        <v>0</v>
      </c>
      <c r="G67" s="71" t="n">
        <f aca="false">G44+G43-G34-G35</f>
        <v>0</v>
      </c>
      <c r="I67" s="42" t="s">
        <v>229</v>
      </c>
    </row>
    <row r="68" customFormat="false" ht="30" hidden="false" customHeight="true" outlineLevel="0" collapsed="false">
      <c r="B68" s="73" t="s">
        <v>230</v>
      </c>
      <c r="C68" s="74"/>
      <c r="D68" s="74"/>
      <c r="E68" s="74"/>
      <c r="F68" s="74"/>
      <c r="G68" s="74"/>
      <c r="I68" s="59" t="s">
        <v>231</v>
      </c>
    </row>
    <row r="69" customFormat="false" ht="27.75" hidden="false" customHeight="true" outlineLevel="0" collapsed="false">
      <c r="B69" s="73" t="s">
        <v>232</v>
      </c>
      <c r="C69" s="75"/>
      <c r="D69" s="75"/>
      <c r="E69" s="75"/>
      <c r="F69" s="75"/>
      <c r="G69" s="75"/>
      <c r="I69" s="59" t="s">
        <v>233</v>
      </c>
    </row>
    <row r="70" customFormat="false" ht="18" hidden="false" customHeight="true" outlineLevel="0" collapsed="false">
      <c r="B70" s="24" t="s">
        <v>234</v>
      </c>
      <c r="C70" s="71" t="n">
        <f aca="false">C62</f>
        <v>0</v>
      </c>
      <c r="D70" s="71" t="n">
        <f aca="false">IFERROR((D62+C62)/2,0)</f>
        <v>0</v>
      </c>
      <c r="E70" s="71" t="n">
        <f aca="false">IFERROR((E62+D62)/2,0)</f>
        <v>0</v>
      </c>
      <c r="F70" s="71" t="n">
        <f aca="false">IFERROR((F62+E62)/2,0)</f>
        <v>0</v>
      </c>
      <c r="G70" s="71" t="n">
        <f aca="false">IFERROR((G62+F62)/2,0)</f>
        <v>0</v>
      </c>
      <c r="I70" s="52"/>
    </row>
    <row r="71" customFormat="false" ht="18" hidden="false" customHeight="true" outlineLevel="0" collapsed="false">
      <c r="B71" s="24" t="s">
        <v>235</v>
      </c>
      <c r="C71" s="71" t="n">
        <f aca="false">C8</f>
        <v>0</v>
      </c>
      <c r="D71" s="71" t="n">
        <f aca="false">D8</f>
        <v>0</v>
      </c>
      <c r="E71" s="71" t="n">
        <f aca="false">E8</f>
        <v>0</v>
      </c>
      <c r="F71" s="71" t="n">
        <f aca="false">F8</f>
        <v>0</v>
      </c>
      <c r="G71" s="71" t="n">
        <f aca="false">G8</f>
        <v>0</v>
      </c>
      <c r="I71" s="52" t="s">
        <v>224</v>
      </c>
    </row>
    <row r="72" customFormat="false" ht="18" hidden="false" customHeight="true" outlineLevel="0" collapsed="false">
      <c r="B72" s="24" t="s">
        <v>236</v>
      </c>
      <c r="C72" s="51" t="e">
        <f aca="false">C71/C70</f>
        <v>#DIV/0!</v>
      </c>
      <c r="D72" s="51" t="e">
        <f aca="false">D71/D70</f>
        <v>#DIV/0!</v>
      </c>
      <c r="E72" s="51" t="e">
        <f aca="false">E71/E70</f>
        <v>#DIV/0!</v>
      </c>
      <c r="F72" s="51" t="e">
        <f aca="false">F71/F70</f>
        <v>#DIV/0!</v>
      </c>
      <c r="G72" s="51" t="e">
        <f aca="false">G71/G70</f>
        <v>#DIV/0!</v>
      </c>
      <c r="I72" s="52"/>
    </row>
    <row r="73" customFormat="false" ht="18" hidden="false" customHeight="true" outlineLevel="0" collapsed="false">
      <c r="B73" s="24" t="s">
        <v>237</v>
      </c>
      <c r="C73" s="71" t="n">
        <f aca="false">IFERROR(ABS(C57),0)</f>
        <v>0</v>
      </c>
      <c r="D73" s="71" t="n">
        <f aca="false">IFERROR(ABS(D57),0)</f>
        <v>0</v>
      </c>
      <c r="E73" s="71" t="n">
        <f aca="false">IFERROR(ABS(E57),0)</f>
        <v>0</v>
      </c>
      <c r="F73" s="71" t="n">
        <f aca="false">IFERROR(ABS(F57),0)</f>
        <v>0</v>
      </c>
      <c r="G73" s="71" t="n">
        <f aca="false">IFERROR(ABS(G57),0)</f>
        <v>0</v>
      </c>
      <c r="I73" s="52"/>
    </row>
    <row r="74" customFormat="false" ht="18" hidden="false" customHeight="true" outlineLevel="0" collapsed="false">
      <c r="B74" s="24" t="s">
        <v>238</v>
      </c>
      <c r="C74" s="71" t="n">
        <f aca="false">C58</f>
        <v>0</v>
      </c>
      <c r="D74" s="71" t="n">
        <f aca="false">D58</f>
        <v>0</v>
      </c>
      <c r="E74" s="71" t="n">
        <f aca="false">E58</f>
        <v>0</v>
      </c>
      <c r="F74" s="71" t="n">
        <f aca="false">F58</f>
        <v>0</v>
      </c>
      <c r="G74" s="71" t="n">
        <f aca="false">G58</f>
        <v>0</v>
      </c>
      <c r="I74" s="52" t="s">
        <v>239</v>
      </c>
    </row>
    <row r="75" customFormat="false" ht="18" hidden="false" customHeight="true" outlineLevel="0" collapsed="false"/>
    <row r="76" customFormat="false" ht="19.5" hidden="false" customHeight="true" outlineLevel="0" collapsed="false">
      <c r="B76" s="45" t="s">
        <v>144</v>
      </c>
      <c r="C76" s="45"/>
      <c r="D76" s="45"/>
      <c r="E76" s="45"/>
      <c r="F76" s="45"/>
      <c r="G76" s="45"/>
      <c r="H76" s="45"/>
      <c r="I76" s="45"/>
    </row>
    <row r="77" customFormat="false" ht="18" hidden="false" customHeight="true" outlineLevel="0" collapsed="false">
      <c r="B77" s="24" t="s">
        <v>74</v>
      </c>
      <c r="C77" s="76" t="n">
        <f aca="false">IFERROR(C6/C5,0)</f>
        <v>0</v>
      </c>
      <c r="D77" s="76" t="n">
        <f aca="false">IFERROR(D6/D5,0)</f>
        <v>0</v>
      </c>
      <c r="E77" s="76" t="n">
        <f aca="false">IFERROR(E6/E5,0)</f>
        <v>0</v>
      </c>
      <c r="F77" s="76" t="n">
        <f aca="false">IFERROR(F6/F5,0)</f>
        <v>0</v>
      </c>
      <c r="G77" s="76" t="n">
        <f aca="false">IFERROR(G6/G5,0)</f>
        <v>0</v>
      </c>
      <c r="I77" s="52" t="s">
        <v>240</v>
      </c>
    </row>
    <row r="78" customFormat="false" ht="18" hidden="false" customHeight="true" outlineLevel="0" collapsed="false">
      <c r="B78" s="24" t="s">
        <v>76</v>
      </c>
      <c r="C78" s="76" t="n">
        <f aca="false">IFERROR(C9/C5,0)</f>
        <v>0</v>
      </c>
      <c r="D78" s="76" t="n">
        <f aca="false">IFERROR(D9/D5,0)</f>
        <v>0</v>
      </c>
      <c r="E78" s="76" t="n">
        <f aca="false">IFERROR(E9/E5,0)</f>
        <v>0</v>
      </c>
      <c r="F78" s="76" t="n">
        <f aca="false">IFERROR(F9/F5,0)</f>
        <v>0</v>
      </c>
      <c r="G78" s="76" t="n">
        <f aca="false">IFERROR(G9/G5,0)</f>
        <v>0</v>
      </c>
      <c r="I78" s="57" t="s">
        <v>241</v>
      </c>
    </row>
    <row r="79" customFormat="false" ht="18" hidden="false" customHeight="true" outlineLevel="0" collapsed="false">
      <c r="B79" s="24" t="s">
        <v>242</v>
      </c>
      <c r="C79" s="76" t="n">
        <f aca="false">IFERROR(ABS(C57)/C5,0)</f>
        <v>0</v>
      </c>
      <c r="D79" s="76" t="n">
        <f aca="false">IFERROR(ABS(D57)/D5,0)</f>
        <v>0</v>
      </c>
      <c r="E79" s="76" t="n">
        <f aca="false">IFERROR(ABS(E57)/E5,0)</f>
        <v>0</v>
      </c>
      <c r="F79" s="76" t="n">
        <f aca="false">IFERROR(ABS(F57)/F5,0)</f>
        <v>0</v>
      </c>
      <c r="G79" s="76" t="n">
        <f aca="false">IFERROR(ABS(G57)/G5,0)</f>
        <v>0</v>
      </c>
      <c r="I79" s="52" t="s">
        <v>243</v>
      </c>
    </row>
    <row r="80" customFormat="false" ht="18" hidden="false" customHeight="true" outlineLevel="0" collapsed="false">
      <c r="B80" s="24" t="s">
        <v>244</v>
      </c>
      <c r="C80" s="76" t="n">
        <f aca="false">IFERROR(C18/C5,0)</f>
        <v>0</v>
      </c>
      <c r="D80" s="76" t="n">
        <f aca="false">IFERROR(D18/D5,0)</f>
        <v>0</v>
      </c>
      <c r="E80" s="76" t="n">
        <f aca="false">IFERROR(E18/E5,0)</f>
        <v>0</v>
      </c>
      <c r="F80" s="76" t="n">
        <f aca="false">IFERROR(F18/F5,0)</f>
        <v>0</v>
      </c>
      <c r="G80" s="76" t="n">
        <f aca="false">IFERROR(G18/G5,0)</f>
        <v>0</v>
      </c>
      <c r="I80" s="52" t="s">
        <v>245</v>
      </c>
    </row>
    <row r="81" customFormat="false" ht="18" hidden="false" customHeight="true" outlineLevel="0" collapsed="false">
      <c r="B81" s="77" t="s">
        <v>246</v>
      </c>
      <c r="C81" s="76" t="e">
        <f aca="false">C67/C5</f>
        <v>#DIV/0!</v>
      </c>
      <c r="D81" s="76" t="e">
        <f aca="false">D67/D5</f>
        <v>#DIV/0!</v>
      </c>
      <c r="E81" s="76" t="e">
        <f aca="false">E67/E5</f>
        <v>#DIV/0!</v>
      </c>
      <c r="F81" s="76" t="e">
        <f aca="false">F67/F5</f>
        <v>#DIV/0!</v>
      </c>
      <c r="G81" s="76" t="e">
        <f aca="false">G67/G5</f>
        <v>#DIV/0!</v>
      </c>
      <c r="I81" s="78"/>
    </row>
    <row r="82" customFormat="false" ht="18" hidden="false" customHeight="true" outlineLevel="0" collapsed="false">
      <c r="A82" s="79"/>
      <c r="B82" s="80" t="s">
        <v>247</v>
      </c>
      <c r="C82" s="81"/>
      <c r="D82" s="82"/>
      <c r="E82" s="82"/>
      <c r="F82" s="82"/>
      <c r="G82" s="82"/>
      <c r="H82" s="79"/>
      <c r="I82" s="79"/>
      <c r="J82" s="79"/>
      <c r="K82" s="79"/>
      <c r="L82" s="79"/>
      <c r="M82" s="79"/>
      <c r="N82" s="79"/>
      <c r="O82" s="79"/>
      <c r="P82" s="79"/>
      <c r="Q82" s="79"/>
      <c r="R82" s="79"/>
      <c r="S82" s="79"/>
    </row>
    <row r="83" customFormat="false" ht="3.75" hidden="false" customHeight="true" outlineLevel="0" collapsed="false">
      <c r="A83" s="79"/>
      <c r="B83" s="32"/>
      <c r="C83" s="79"/>
      <c r="D83" s="79"/>
      <c r="E83" s="79"/>
      <c r="F83" s="79"/>
      <c r="G83" s="79"/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</row>
    <row r="84" customFormat="false" ht="3.75" hidden="false" customHeight="true" outlineLevel="0" collapsed="false">
      <c r="A84" s="79"/>
      <c r="B84" s="83"/>
      <c r="C84" s="83"/>
      <c r="D84" s="83"/>
      <c r="E84" s="83"/>
      <c r="F84" s="83"/>
      <c r="G84" s="83"/>
      <c r="H84" s="79"/>
      <c r="I84" s="32"/>
      <c r="J84" s="79"/>
      <c r="K84" s="79"/>
      <c r="L84" s="79"/>
      <c r="M84" s="79"/>
      <c r="N84" s="79"/>
      <c r="O84" s="79"/>
      <c r="P84" s="79"/>
      <c r="Q84" s="79"/>
      <c r="R84" s="79"/>
      <c r="S84" s="79"/>
    </row>
    <row r="85" customFormat="false" ht="3.75" hidden="false" customHeight="true" outlineLevel="0" collapsed="false">
      <c r="A85" s="79"/>
      <c r="B85" s="32"/>
      <c r="C85" s="84"/>
      <c r="D85" s="84"/>
      <c r="E85" s="84"/>
      <c r="F85" s="84"/>
      <c r="G85" s="84"/>
      <c r="H85" s="79"/>
      <c r="I85" s="32"/>
      <c r="J85" s="79"/>
      <c r="K85" s="79"/>
      <c r="L85" s="79"/>
      <c r="M85" s="79"/>
      <c r="N85" s="79"/>
      <c r="O85" s="79"/>
      <c r="P85" s="79"/>
      <c r="Q85" s="79"/>
      <c r="R85" s="79"/>
      <c r="S85" s="79"/>
    </row>
    <row r="86" customFormat="false" ht="3.75" hidden="false" customHeight="true" outlineLevel="0" collapsed="false">
      <c r="A86" s="79"/>
      <c r="B86" s="32"/>
      <c r="C86" s="84"/>
      <c r="D86" s="84"/>
      <c r="E86" s="84"/>
      <c r="F86" s="84"/>
      <c r="G86" s="84"/>
      <c r="H86" s="79"/>
      <c r="I86" s="32"/>
      <c r="J86" s="79"/>
      <c r="K86" s="79"/>
      <c r="L86" s="79"/>
      <c r="M86" s="79"/>
      <c r="N86" s="79"/>
      <c r="O86" s="79"/>
      <c r="P86" s="79"/>
      <c r="Q86" s="79"/>
      <c r="R86" s="79"/>
      <c r="S86" s="79"/>
    </row>
    <row r="87" customFormat="false" ht="3.75" hidden="false" customHeight="true" outlineLevel="0" collapsed="false">
      <c r="A87" s="79"/>
      <c r="B87" s="32"/>
      <c r="C87" s="85"/>
      <c r="D87" s="85"/>
      <c r="E87" s="85"/>
      <c r="F87" s="85"/>
      <c r="G87" s="85"/>
      <c r="H87" s="79"/>
      <c r="I87" s="32"/>
      <c r="J87" s="79"/>
      <c r="K87" s="79"/>
      <c r="L87" s="79"/>
      <c r="M87" s="79"/>
      <c r="N87" s="79"/>
      <c r="O87" s="79"/>
      <c r="P87" s="79"/>
      <c r="Q87" s="79"/>
      <c r="R87" s="79"/>
      <c r="S87" s="79"/>
    </row>
    <row r="88" customFormat="false" ht="3.75" hidden="false" customHeight="true" outlineLevel="0" collapsed="false">
      <c r="A88" s="79"/>
      <c r="B88" s="32"/>
      <c r="C88" s="85"/>
      <c r="D88" s="85"/>
      <c r="E88" s="85"/>
      <c r="F88" s="85"/>
      <c r="G88" s="85"/>
      <c r="H88" s="79"/>
      <c r="I88" s="32"/>
      <c r="J88" s="79"/>
      <c r="K88" s="79"/>
      <c r="L88" s="79"/>
      <c r="M88" s="79"/>
      <c r="N88" s="79"/>
      <c r="O88" s="79"/>
      <c r="P88" s="79"/>
      <c r="Q88" s="79"/>
      <c r="R88" s="79"/>
      <c r="S88" s="79"/>
    </row>
    <row r="91" customFormat="false" ht="15" hidden="false" customHeight="true" outlineLevel="0" collapsed="false">
      <c r="E91" s="86"/>
    </row>
  </sheetData>
  <mergeCells count="10">
    <mergeCell ref="B1:I1"/>
    <mergeCell ref="B2:H2"/>
    <mergeCell ref="B3:I3"/>
    <mergeCell ref="B17:I17"/>
    <mergeCell ref="B23:I23"/>
    <mergeCell ref="B24:H24"/>
    <mergeCell ref="B39:H39"/>
    <mergeCell ref="B52:I52"/>
    <mergeCell ref="B60:I60"/>
    <mergeCell ref="B76:I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95"/>
  <sheetViews>
    <sheetView showFormulas="false" showGridLines="true" showRowColHeaders="true" showZeros="true" rightToLeft="false" tabSelected="false" showOutlineSymbols="true" defaultGridColor="true" view="normal" topLeftCell="A75" colorId="64" zoomScale="100" zoomScaleNormal="100" zoomScalePageLayoutView="100" workbookViewId="0">
      <selection pane="topLeft" activeCell="C93" activeCellId="0" sqref="C93"/>
    </sheetView>
  </sheetViews>
  <sheetFormatPr defaultColWidth="8.83203125" defaultRowHeight="15" zeroHeight="false" outlineLevelRow="0" outlineLevelCol="0"/>
  <cols>
    <col collapsed="false" customWidth="true" hidden="false" outlineLevel="0" max="1" min="1" style="87" width="3"/>
    <col collapsed="false" customWidth="true" hidden="false" outlineLevel="0" max="2" min="2" style="87" width="38"/>
    <col collapsed="false" customWidth="true" hidden="false" outlineLevel="0" max="3" min="3" style="87" width="14"/>
    <col collapsed="false" customWidth="true" hidden="false" outlineLevel="0" max="11" min="4" style="87" width="11"/>
    <col collapsed="false" customWidth="false" hidden="false" outlineLevel="0" max="17" min="12" style="87" width="8.83"/>
    <col collapsed="false" customWidth="true" hidden="false" outlineLevel="0" max="18" min="18" style="87" width="62"/>
    <col collapsed="false" customWidth="false" hidden="false" outlineLevel="0" max="16384" min="19" style="87" width="8.83"/>
  </cols>
  <sheetData>
    <row r="1" customFormat="false" ht="19.5" hidden="false" customHeight="true" outlineLevel="0" collapsed="false">
      <c r="B1" s="88" t="s">
        <v>248</v>
      </c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</row>
    <row r="2" customFormat="false" ht="21.75" hidden="false" customHeight="true" outlineLevel="0" collapsed="false">
      <c r="B2" s="89" t="s">
        <v>249</v>
      </c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</row>
    <row r="4" customFormat="false" ht="19.5" hidden="false" customHeight="true" outlineLevel="0" collapsed="false">
      <c r="B4" s="88" t="s">
        <v>250</v>
      </c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  <c r="N4" s="88"/>
      <c r="O4" s="88"/>
      <c r="P4" s="88"/>
      <c r="Q4" s="88"/>
    </row>
    <row r="5" customFormat="false" ht="18" hidden="false" customHeight="true" outlineLevel="0" collapsed="false">
      <c r="B5" s="90" t="s">
        <v>251</v>
      </c>
      <c r="C5" s="90" t="s">
        <v>252</v>
      </c>
      <c r="D5" s="91" t="s">
        <v>253</v>
      </c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</row>
    <row r="6" customFormat="false" ht="21.75" hidden="false" customHeight="true" outlineLevel="0" collapsed="false">
      <c r="B6" s="92" t="s">
        <v>59</v>
      </c>
      <c r="C6" s="93"/>
      <c r="D6" s="94" t="s">
        <v>254</v>
      </c>
      <c r="E6" s="94"/>
      <c r="F6" s="94"/>
      <c r="G6" s="94"/>
      <c r="H6" s="94"/>
      <c r="I6" s="94"/>
      <c r="J6" s="94"/>
      <c r="K6" s="94"/>
      <c r="L6" s="94"/>
      <c r="M6" s="94"/>
      <c r="N6" s="94"/>
      <c r="O6" s="94"/>
      <c r="P6" s="94"/>
      <c r="Q6" s="94"/>
    </row>
    <row r="7" customFormat="false" ht="21.75" hidden="false" customHeight="true" outlineLevel="0" collapsed="false">
      <c r="B7" s="92" t="s">
        <v>255</v>
      </c>
      <c r="C7" s="5"/>
      <c r="D7" s="94" t="s">
        <v>256</v>
      </c>
      <c r="E7" s="94"/>
      <c r="F7" s="94"/>
      <c r="G7" s="94"/>
      <c r="H7" s="94"/>
      <c r="I7" s="94"/>
      <c r="J7" s="94"/>
      <c r="K7" s="94"/>
      <c r="L7" s="94"/>
      <c r="M7" s="94"/>
      <c r="N7" s="94"/>
      <c r="O7" s="94"/>
      <c r="P7" s="94"/>
      <c r="Q7" s="94"/>
    </row>
    <row r="8" customFormat="false" ht="36.75" hidden="false" customHeight="true" outlineLevel="0" collapsed="false">
      <c r="B8" s="95" t="s">
        <v>257</v>
      </c>
      <c r="C8" s="96"/>
      <c r="D8" s="94" t="s">
        <v>258</v>
      </c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P8" s="94"/>
      <c r="Q8" s="94"/>
    </row>
    <row r="9" customFormat="false" ht="21.75" hidden="false" customHeight="true" outlineLevel="0" collapsed="false">
      <c r="B9" s="92" t="s">
        <v>259</v>
      </c>
      <c r="C9" s="93"/>
      <c r="D9" s="94" t="s">
        <v>260</v>
      </c>
      <c r="E9" s="94"/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</row>
    <row r="10" customFormat="false" ht="21.75" hidden="false" customHeight="true" outlineLevel="0" collapsed="false">
      <c r="B10" s="92" t="s">
        <v>261</v>
      </c>
      <c r="C10" s="93"/>
      <c r="D10" s="94" t="s">
        <v>262</v>
      </c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</row>
    <row r="11" customFormat="false" ht="21.75" hidden="false" customHeight="true" outlineLevel="0" collapsed="false">
      <c r="B11" s="92" t="s">
        <v>263</v>
      </c>
      <c r="C11" s="93"/>
      <c r="D11" s="94" t="s">
        <v>264</v>
      </c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</row>
    <row r="12" customFormat="false" ht="21.75" hidden="false" customHeight="true" outlineLevel="0" collapsed="false">
      <c r="B12" s="92" t="s">
        <v>265</v>
      </c>
      <c r="C12" s="93"/>
      <c r="D12" s="94" t="s">
        <v>266</v>
      </c>
      <c r="E12" s="94"/>
      <c r="F12" s="94"/>
      <c r="G12" s="94"/>
      <c r="H12" s="94"/>
      <c r="I12" s="94"/>
      <c r="J12" s="94"/>
      <c r="K12" s="94"/>
      <c r="L12" s="94"/>
      <c r="M12" s="94"/>
      <c r="N12" s="94"/>
      <c r="O12" s="94"/>
      <c r="P12" s="94"/>
      <c r="Q12" s="94"/>
    </row>
    <row r="13" customFormat="false" ht="21.75" hidden="false" customHeight="true" outlineLevel="0" collapsed="false">
      <c r="B13" s="92" t="s">
        <v>267</v>
      </c>
      <c r="C13" s="93"/>
      <c r="D13" s="94" t="s">
        <v>268</v>
      </c>
      <c r="E13" s="94"/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</row>
    <row r="14" customFormat="false" ht="21.75" hidden="false" customHeight="true" outlineLevel="0" collapsed="false">
      <c r="B14" s="92" t="s">
        <v>269</v>
      </c>
      <c r="C14" s="97"/>
      <c r="D14" s="94" t="s">
        <v>270</v>
      </c>
      <c r="E14" s="94"/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</row>
    <row r="15" customFormat="false" ht="27.75" hidden="false" customHeight="true" outlineLevel="0" collapsed="false">
      <c r="B15" s="98" t="s">
        <v>271</v>
      </c>
      <c r="C15" s="99"/>
      <c r="D15" s="94" t="s">
        <v>272</v>
      </c>
      <c r="E15" s="94"/>
      <c r="F15" s="94"/>
      <c r="G15" s="94"/>
      <c r="H15" s="94"/>
      <c r="I15" s="94"/>
      <c r="J15" s="94"/>
      <c r="K15" s="94"/>
      <c r="L15" s="94"/>
      <c r="M15" s="94"/>
      <c r="N15" s="94"/>
      <c r="O15" s="94"/>
      <c r="P15" s="94"/>
      <c r="Q15" s="94"/>
    </row>
    <row r="16" customFormat="false" ht="21.75" hidden="false" customHeight="true" outlineLevel="0" collapsed="false">
      <c r="B16" s="92" t="s">
        <v>62</v>
      </c>
      <c r="C16" s="100"/>
      <c r="D16" s="94" t="s">
        <v>273</v>
      </c>
      <c r="E16" s="94"/>
      <c r="F16" s="94"/>
      <c r="G16" s="94"/>
      <c r="H16" s="94"/>
      <c r="I16" s="94"/>
      <c r="J16" s="94"/>
      <c r="K16" s="94"/>
      <c r="L16" s="94"/>
      <c r="M16" s="94"/>
      <c r="N16" s="94"/>
      <c r="O16" s="94"/>
      <c r="P16" s="94"/>
      <c r="Q16" s="94"/>
    </row>
    <row r="19" customFormat="false" ht="19.5" hidden="false" customHeight="true" outlineLevel="0" collapsed="false">
      <c r="B19" s="101" t="s">
        <v>274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1"/>
    </row>
    <row r="20" customFormat="false" ht="21.75" hidden="false" customHeight="true" outlineLevel="0" collapsed="false">
      <c r="B20" s="102" t="s">
        <v>275</v>
      </c>
      <c r="C20" s="103" t="s">
        <v>276</v>
      </c>
      <c r="D20" s="90" t="s">
        <v>277</v>
      </c>
      <c r="E20" s="90" t="s">
        <v>278</v>
      </c>
      <c r="F20" s="104" t="s">
        <v>279</v>
      </c>
      <c r="G20" s="104" t="s">
        <v>280</v>
      </c>
      <c r="H20" s="104" t="s">
        <v>281</v>
      </c>
      <c r="I20" s="104" t="s">
        <v>282</v>
      </c>
      <c r="J20" s="104" t="s">
        <v>283</v>
      </c>
      <c r="K20" s="104" t="s">
        <v>284</v>
      </c>
      <c r="R20" s="105" t="s">
        <v>285</v>
      </c>
    </row>
    <row r="21" customFormat="false" ht="21.75" hidden="false" customHeight="true" outlineLevel="0" collapsed="false">
      <c r="B21" s="92" t="s">
        <v>72</v>
      </c>
      <c r="C21" s="106" t="n">
        <f aca="false">IFERROR(AVERAGE('📊 Hist Data'!D21:G21),0)</f>
        <v>0</v>
      </c>
      <c r="D21" s="107"/>
      <c r="E21" s="107"/>
      <c r="F21" s="108"/>
      <c r="G21" s="109" t="n">
        <f aca="false">IFERROR(F21-(F21-$C$14)/5*(1),0)</f>
        <v>0</v>
      </c>
      <c r="H21" s="109" t="n">
        <f aca="false">IFERROR(G21-(G21-$C$14)/5*(2),0)</f>
        <v>0</v>
      </c>
      <c r="I21" s="109" t="n">
        <f aca="false">IFERROR(H21-(H21-$C$14)/5*(3),0)</f>
        <v>0</v>
      </c>
      <c r="J21" s="109" t="n">
        <f aca="false">IFERROR(I21-(I21-$C$14)/5*(4),0)</f>
        <v>0</v>
      </c>
      <c r="K21" s="109" t="n">
        <f aca="false">IFERROR(J21-(J21-$C$14)/5*(5),0)</f>
        <v>0</v>
      </c>
      <c r="R21" s="105" t="s">
        <v>286</v>
      </c>
    </row>
    <row r="22" customFormat="false" ht="21.75" hidden="false" customHeight="true" outlineLevel="0" collapsed="false">
      <c r="B22" s="92" t="s">
        <v>74</v>
      </c>
      <c r="C22" s="106" t="n">
        <f aca="false">IFERROR(AVERAGE('📊 Hist Data'!C77:G77),0)</f>
        <v>0</v>
      </c>
      <c r="D22" s="107"/>
      <c r="E22" s="107"/>
      <c r="F22" s="109" t="n">
        <f aca="false">IFERROR(E22+(E22-D22)*0.5,0)</f>
        <v>0</v>
      </c>
      <c r="G22" s="109" t="n">
        <f aca="false">IFERROR(F22+(E22-D22)/3,0)</f>
        <v>0</v>
      </c>
      <c r="H22" s="109" t="n">
        <f aca="false">IFERROR(G22+(E22-D22)/4,0)</f>
        <v>0</v>
      </c>
      <c r="I22" s="109" t="n">
        <f aca="false">IFERROR(H22+(E22-D22)/5,0)</f>
        <v>0</v>
      </c>
      <c r="J22" s="109" t="n">
        <f aca="false">IFERROR(I22+(E22-D22)/6,0)</f>
        <v>0</v>
      </c>
      <c r="K22" s="109" t="n">
        <f aca="false">IFERROR(J22+(E22-D22)/7,0)</f>
        <v>0</v>
      </c>
      <c r="R22" s="105" t="s">
        <v>287</v>
      </c>
    </row>
    <row r="23" customFormat="false" ht="21.75" hidden="false" customHeight="true" outlineLevel="0" collapsed="false">
      <c r="B23" s="92" t="s">
        <v>76</v>
      </c>
      <c r="C23" s="106" t="n">
        <f aca="false">IFERROR(AVERAGE('📊 Hist Data'!C78:G78),0)</f>
        <v>0</v>
      </c>
      <c r="D23" s="107"/>
      <c r="E23" s="107"/>
      <c r="F23" s="109" t="n">
        <f aca="false">IFERROR(D23+(E23-D23)*0.5,0)</f>
        <v>0</v>
      </c>
      <c r="G23" s="109" t="n">
        <f aca="false">IFERROR(F23+(E23-D23)*0.4,0)</f>
        <v>0</v>
      </c>
      <c r="H23" s="109" t="n">
        <f aca="false">IFERROR(G23+(E23-D23)*0.3,0)</f>
        <v>0</v>
      </c>
      <c r="I23" s="109" t="n">
        <f aca="false">IFERROR(H23+(E23-D23)*0.2,0)</f>
        <v>0</v>
      </c>
      <c r="J23" s="109" t="n">
        <f aca="false">IFERROR(I23+(E23-D23)*0.1,0)</f>
        <v>0</v>
      </c>
      <c r="K23" s="109" t="n">
        <f aca="false">IFERROR(J23,0)</f>
        <v>0</v>
      </c>
      <c r="R23" s="105" t="s">
        <v>288</v>
      </c>
    </row>
    <row r="24" customFormat="false" ht="21.75" hidden="false" customHeight="true" outlineLevel="0" collapsed="false">
      <c r="B24" s="110" t="s">
        <v>289</v>
      </c>
      <c r="C24" s="106" t="n">
        <f aca="false">IFERROR(AVERAGE('📊 Hist Data'!C80:G80),0)</f>
        <v>0</v>
      </c>
      <c r="D24" s="106" t="n">
        <f aca="false">IFERROR(D22-D23,0)</f>
        <v>0</v>
      </c>
      <c r="E24" s="106" t="n">
        <f aca="false">IFERROR(E22-E23,0)</f>
        <v>0</v>
      </c>
      <c r="F24" s="111" t="n">
        <f aca="false">IFERROR(F22-F23,0)</f>
        <v>0</v>
      </c>
      <c r="G24" s="111" t="n">
        <f aca="false">IFERROR(G22-G23,0)</f>
        <v>0</v>
      </c>
      <c r="H24" s="111" t="n">
        <f aca="false">IFERROR(H22-H23,0)</f>
        <v>0</v>
      </c>
      <c r="I24" s="111" t="n">
        <f aca="false">IFERROR(I22-I23,0)</f>
        <v>0</v>
      </c>
      <c r="J24" s="111" t="n">
        <f aca="false">IFERROR(J22-J23,0)</f>
        <v>0</v>
      </c>
      <c r="K24" s="111" t="n">
        <f aca="false">IFERROR(K22-K23,0)</f>
        <v>0</v>
      </c>
      <c r="R24" s="105" t="s">
        <v>290</v>
      </c>
    </row>
    <row r="27" customFormat="false" ht="19.5" hidden="false" customHeight="true" outlineLevel="0" collapsed="false">
      <c r="B27" s="112" t="s">
        <v>291</v>
      </c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</row>
    <row r="28" customFormat="false" ht="21.75" hidden="false" customHeight="true" outlineLevel="0" collapsed="false">
      <c r="B28" s="102" t="s">
        <v>275</v>
      </c>
      <c r="C28" s="103" t="s">
        <v>276</v>
      </c>
      <c r="D28" s="90" t="s">
        <v>277</v>
      </c>
      <c r="E28" s="90" t="s">
        <v>278</v>
      </c>
      <c r="F28" s="104" t="s">
        <v>279</v>
      </c>
      <c r="G28" s="104" t="s">
        <v>280</v>
      </c>
      <c r="H28" s="104" t="s">
        <v>281</v>
      </c>
      <c r="I28" s="104" t="s">
        <v>282</v>
      </c>
      <c r="J28" s="104" t="s">
        <v>283</v>
      </c>
      <c r="K28" s="104" t="s">
        <v>284</v>
      </c>
      <c r="R28" s="105" t="s">
        <v>285</v>
      </c>
    </row>
    <row r="29" customFormat="false" ht="21.75" hidden="false" customHeight="true" outlineLevel="0" collapsed="false">
      <c r="B29" s="95" t="s">
        <v>292</v>
      </c>
      <c r="C29" s="106" t="n">
        <f aca="false">IFERROR(AVERAGE('📊 Hist Data'!C79:G79),0)</f>
        <v>0</v>
      </c>
      <c r="D29" s="107"/>
      <c r="E29" s="107"/>
      <c r="F29" s="109" t="n">
        <f aca="false">AVERAGE(C29:E29)</f>
        <v>0</v>
      </c>
      <c r="G29" s="109" t="n">
        <f aca="false">$F$29</f>
        <v>0</v>
      </c>
      <c r="H29" s="109" t="n">
        <f aca="false">$F$29</f>
        <v>0</v>
      </c>
      <c r="I29" s="109" t="n">
        <f aca="false">$F$29</f>
        <v>0</v>
      </c>
      <c r="J29" s="109" t="n">
        <f aca="false">$F$29</f>
        <v>0</v>
      </c>
      <c r="K29" s="109" t="n">
        <f aca="false">$F$29</f>
        <v>0</v>
      </c>
      <c r="R29" s="105" t="s">
        <v>293</v>
      </c>
    </row>
    <row r="30" customFormat="false" ht="19.5" hidden="false" customHeight="true" outlineLevel="0" collapsed="false">
      <c r="B30" s="110" t="s">
        <v>294</v>
      </c>
      <c r="C30" s="113" t="n">
        <f aca="false">IFERROR(AVERAGE('📊 Hist Data'!C73:G73),0)</f>
        <v>0</v>
      </c>
      <c r="D30" s="113" t="n">
        <f aca="false">IFERROR(D29*'📈 Projections'!D5,0)</f>
        <v>0</v>
      </c>
      <c r="E30" s="113" t="n">
        <f aca="false">IFERROR(E29*'📈 Projections'!E5,0)</f>
        <v>0</v>
      </c>
      <c r="F30" s="114" t="n">
        <f aca="false">IFERROR(F29*'📈 Projections'!F5,0)</f>
        <v>0</v>
      </c>
      <c r="G30" s="114" t="n">
        <f aca="false">IFERROR(G29*'📈 Projections'!G5,0)</f>
        <v>0</v>
      </c>
      <c r="H30" s="114" t="n">
        <f aca="false">IFERROR(H29*'📈 Projections'!H5,0)</f>
        <v>0</v>
      </c>
      <c r="I30" s="114" t="n">
        <f aca="false">IFERROR(I29*'📈 Projections'!I5,0)</f>
        <v>0</v>
      </c>
      <c r="J30" s="114" t="n">
        <f aca="false">IFERROR(J29*'📈 Projections'!J5,0)</f>
        <v>0</v>
      </c>
      <c r="K30" s="114" t="n">
        <f aca="false">IFERROR(K29*'📈 Projections'!K5,0)</f>
        <v>0</v>
      </c>
      <c r="R30" s="105" t="s">
        <v>295</v>
      </c>
    </row>
    <row r="33" customFormat="false" ht="19.5" hidden="false" customHeight="true" outlineLevel="0" collapsed="false">
      <c r="B33" s="88" t="s">
        <v>296</v>
      </c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</row>
    <row r="34" customFormat="false" ht="18" hidden="false" customHeight="true" outlineLevel="0" collapsed="false">
      <c r="B34" s="90" t="s">
        <v>297</v>
      </c>
      <c r="C34" s="103" t="s">
        <v>298</v>
      </c>
      <c r="D34" s="90" t="s">
        <v>277</v>
      </c>
      <c r="E34" s="90" t="s">
        <v>278</v>
      </c>
      <c r="F34" s="115" t="s">
        <v>279</v>
      </c>
      <c r="G34" s="115" t="s">
        <v>280</v>
      </c>
      <c r="H34" s="115" t="s">
        <v>281</v>
      </c>
      <c r="I34" s="115" t="s">
        <v>282</v>
      </c>
      <c r="J34" s="115" t="s">
        <v>283</v>
      </c>
      <c r="K34" s="115" t="s">
        <v>284</v>
      </c>
      <c r="R34" s="35" t="s">
        <v>299</v>
      </c>
    </row>
    <row r="35" customFormat="false" ht="24" hidden="false" customHeight="true" outlineLevel="0" collapsed="false">
      <c r="B35" s="95" t="s">
        <v>300</v>
      </c>
      <c r="C35" s="116" t="e">
        <f aca="false">AVERAGE('📊 Hist Data'!C81:G81)</f>
        <v>#DIV/0!</v>
      </c>
      <c r="D35" s="117"/>
      <c r="E35" s="117"/>
      <c r="F35" s="118"/>
      <c r="G35" s="118"/>
      <c r="H35" s="118"/>
      <c r="I35" s="119"/>
      <c r="J35" s="119"/>
      <c r="K35" s="119"/>
      <c r="R35" s="120" t="s">
        <v>301</v>
      </c>
    </row>
    <row r="36" customFormat="false" ht="31.5" hidden="false" customHeight="true" outlineLevel="0" collapsed="false">
      <c r="B36" s="121" t="s">
        <v>302</v>
      </c>
      <c r="C36" s="122" t="e">
        <f aca="false">SUMPRODUCT(C38:$G$38,'📊 Hist Data'!C81:G81)/SUM('🔑 Assumptions'!$C$38:$G$38)</f>
        <v>#DIV/0!</v>
      </c>
      <c r="D36" s="123" t="n">
        <f aca="false">IFERROR($C$36,0)</f>
        <v>0</v>
      </c>
      <c r="E36" s="123" t="n">
        <f aca="false">IFERROR(D36,0)</f>
        <v>0</v>
      </c>
      <c r="F36" s="124" t="n">
        <f aca="false">IFERROR($E$36,0)</f>
        <v>0</v>
      </c>
      <c r="G36" s="124" t="n">
        <f aca="false">IFERROR($E$36,0)</f>
        <v>0</v>
      </c>
      <c r="H36" s="124" t="n">
        <f aca="false">IFERROR($E$36,0)</f>
        <v>0</v>
      </c>
      <c r="I36" s="124" t="n">
        <f aca="false">IFERROR($E$36,0)</f>
        <v>0</v>
      </c>
      <c r="J36" s="124" t="n">
        <f aca="false">IFERROR($E$36,0)</f>
        <v>0</v>
      </c>
      <c r="K36" s="124" t="n">
        <f aca="false">IFERROR($E$36,0)</f>
        <v>0</v>
      </c>
      <c r="R36" s="125" t="s">
        <v>303</v>
      </c>
    </row>
    <row r="37" customFormat="false" ht="19.5" hidden="false" customHeight="true" outlineLevel="0" collapsed="false">
      <c r="A37" s="79"/>
      <c r="B37" s="126" t="s">
        <v>304</v>
      </c>
      <c r="C37" s="127" t="s">
        <v>305</v>
      </c>
      <c r="D37" s="127" t="s">
        <v>306</v>
      </c>
      <c r="E37" s="127" t="s">
        <v>307</v>
      </c>
      <c r="F37" s="127" t="s">
        <v>308</v>
      </c>
      <c r="G37" s="127" t="s">
        <v>309</v>
      </c>
      <c r="H37" s="79"/>
      <c r="I37" s="79"/>
      <c r="J37" s="79"/>
      <c r="K37" s="79"/>
      <c r="L37" s="79"/>
      <c r="M37" s="79"/>
      <c r="N37" s="79"/>
      <c r="O37" s="79"/>
      <c r="P37" s="79"/>
      <c r="Q37" s="79"/>
      <c r="R37" s="79"/>
      <c r="S37" s="79"/>
    </row>
    <row r="38" customFormat="false" ht="18.75" hidden="false" customHeight="true" outlineLevel="0" collapsed="false">
      <c r="A38" s="79"/>
      <c r="B38" s="128" t="s">
        <v>310</v>
      </c>
      <c r="C38" s="129" t="n">
        <v>1</v>
      </c>
      <c r="D38" s="129" t="n">
        <v>2</v>
      </c>
      <c r="E38" s="130" t="n">
        <v>3</v>
      </c>
      <c r="F38" s="131" t="n">
        <v>4</v>
      </c>
      <c r="G38" s="131" t="n">
        <v>5</v>
      </c>
      <c r="H38" s="79"/>
      <c r="I38" s="132" t="s">
        <v>311</v>
      </c>
      <c r="J38" s="79"/>
      <c r="K38" s="79"/>
      <c r="L38" s="79"/>
      <c r="M38" s="79"/>
      <c r="N38" s="79"/>
      <c r="O38" s="79"/>
      <c r="P38" s="79"/>
      <c r="Q38" s="79"/>
      <c r="R38" s="133"/>
      <c r="S38" s="79"/>
    </row>
    <row r="39" customFormat="false" ht="3.75" hidden="false" customHeight="true" outlineLevel="0" collapsed="false">
      <c r="A39" s="79"/>
      <c r="B39" s="92"/>
      <c r="C39" s="134"/>
      <c r="D39" s="134"/>
      <c r="E39" s="135"/>
      <c r="F39" s="136"/>
      <c r="G39" s="136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133"/>
      <c r="S39" s="79"/>
    </row>
    <row r="40" customFormat="false" ht="3.75" hidden="false" customHeight="true" outlineLevel="0" collapsed="false">
      <c r="A40" s="79"/>
      <c r="B40" s="92"/>
      <c r="C40" s="137"/>
      <c r="D40" s="137"/>
      <c r="E40" s="138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133"/>
      <c r="S40" s="79"/>
    </row>
    <row r="41" customFormat="false" ht="3.75" hidden="false" customHeight="true" outlineLevel="0" collapsed="false">
      <c r="A41" s="79"/>
      <c r="B41" s="92"/>
      <c r="C41" s="137"/>
      <c r="D41" s="137"/>
      <c r="E41" s="138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133"/>
      <c r="S41" s="79"/>
    </row>
    <row r="44" customFormat="false" ht="51.75" hidden="false" customHeight="true" outlineLevel="0" collapsed="false">
      <c r="B44" s="139"/>
    </row>
    <row r="45" customFormat="false" ht="18" hidden="false" customHeight="true" outlineLevel="0" collapsed="false">
      <c r="B45" s="90"/>
      <c r="C45" s="103"/>
      <c r="D45" s="90"/>
      <c r="E45" s="90"/>
      <c r="F45" s="104"/>
      <c r="G45" s="104"/>
      <c r="H45" s="104"/>
      <c r="I45" s="104"/>
      <c r="J45" s="104"/>
      <c r="K45" s="104"/>
    </row>
    <row r="46" customFormat="false" ht="19.5" hidden="false" customHeight="true" outlineLevel="0" collapsed="false">
      <c r="B46" s="92"/>
      <c r="C46" s="113"/>
      <c r="D46" s="140"/>
      <c r="E46" s="140"/>
      <c r="F46" s="141"/>
      <c r="G46" s="141"/>
      <c r="H46" s="141"/>
      <c r="I46" s="141"/>
      <c r="J46" s="141"/>
      <c r="K46" s="141"/>
    </row>
    <row r="47" customFormat="false" ht="18" hidden="false" customHeight="true" outlineLevel="0" collapsed="false">
      <c r="B47" s="92"/>
      <c r="C47" s="113"/>
      <c r="D47" s="140"/>
      <c r="E47" s="140"/>
      <c r="F47" s="141"/>
      <c r="G47" s="141"/>
      <c r="H47" s="141"/>
      <c r="I47" s="141"/>
      <c r="J47" s="141"/>
      <c r="K47" s="141"/>
    </row>
    <row r="48" customFormat="false" ht="18" hidden="false" customHeight="true" outlineLevel="0" collapsed="false">
      <c r="B48" s="92"/>
      <c r="C48" s="113"/>
      <c r="D48" s="113"/>
      <c r="E48" s="113"/>
      <c r="F48" s="113"/>
      <c r="G48" s="113"/>
      <c r="H48" s="113"/>
      <c r="I48" s="113"/>
      <c r="J48" s="113"/>
      <c r="K48" s="113"/>
    </row>
    <row r="49" customFormat="false" ht="18" hidden="false" customHeight="true" outlineLevel="0" collapsed="false">
      <c r="B49" s="92"/>
      <c r="C49" s="106"/>
      <c r="D49" s="107"/>
      <c r="E49" s="107"/>
      <c r="F49" s="107"/>
      <c r="G49" s="107"/>
      <c r="H49" s="107"/>
      <c r="I49" s="107"/>
      <c r="J49" s="107"/>
      <c r="K49" s="107"/>
    </row>
    <row r="52" customFormat="false" ht="19.5" hidden="false" customHeight="true" outlineLevel="0" collapsed="false">
      <c r="B52" s="88" t="s">
        <v>312</v>
      </c>
      <c r="C52" s="88"/>
      <c r="D52" s="88"/>
      <c r="E52" s="88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</row>
    <row r="53" customFormat="false" ht="21.75" hidden="false" customHeight="true" outlineLevel="0" collapsed="false">
      <c r="B53" s="90" t="s">
        <v>313</v>
      </c>
      <c r="C53" s="90" t="s">
        <v>252</v>
      </c>
      <c r="D53" s="94" t="s">
        <v>314</v>
      </c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</row>
    <row r="54" customFormat="false" ht="18" hidden="false" customHeight="true" outlineLevel="0" collapsed="false">
      <c r="B54" s="101" t="s">
        <v>315</v>
      </c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</row>
    <row r="55" customFormat="false" ht="27.75" hidden="false" customHeight="true" outlineLevel="0" collapsed="false">
      <c r="B55" s="92" t="s">
        <v>316</v>
      </c>
      <c r="C55" s="107"/>
      <c r="D55" s="94" t="s">
        <v>317</v>
      </c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</row>
    <row r="56" customFormat="false" ht="27.75" hidden="false" customHeight="true" outlineLevel="0" collapsed="false">
      <c r="B56" s="92" t="s">
        <v>318</v>
      </c>
      <c r="C56" s="107"/>
      <c r="D56" s="94" t="s">
        <v>319</v>
      </c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</row>
    <row r="57" customFormat="false" ht="27.75" hidden="false" customHeight="true" outlineLevel="0" collapsed="false">
      <c r="B57" s="92" t="s">
        <v>320</v>
      </c>
      <c r="C57" s="142" t="n">
        <f aca="false">IFERROR('📐 Beta Calc'!C6,1)</f>
        <v>1</v>
      </c>
      <c r="D57" s="94" t="s">
        <v>321</v>
      </c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</row>
    <row r="58" customFormat="false" ht="21.75" hidden="false" customHeight="true" outlineLevel="0" collapsed="false">
      <c r="B58" s="92" t="s">
        <v>322</v>
      </c>
      <c r="C58" s="143"/>
      <c r="D58" s="94" t="s">
        <v>323</v>
      </c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</row>
    <row r="59" customFormat="false" ht="18" hidden="false" customHeight="true" outlineLevel="0" collapsed="false">
      <c r="B59" s="92" t="s">
        <v>324</v>
      </c>
      <c r="C59" s="106" t="n">
        <f aca="false">IFERROR(C55+C57*C56,0)</f>
        <v>0</v>
      </c>
    </row>
    <row r="60" customFormat="false" ht="18" hidden="false" customHeight="true" outlineLevel="0" collapsed="false">
      <c r="B60" s="92" t="s">
        <v>325</v>
      </c>
      <c r="C60" s="106" t="n">
        <f aca="false">IFERROR(C55+C58*C56,0)</f>
        <v>0</v>
      </c>
    </row>
    <row r="62" customFormat="false" ht="18" hidden="false" customHeight="true" outlineLevel="0" collapsed="false">
      <c r="B62" s="101" t="s">
        <v>326</v>
      </c>
      <c r="C62" s="101"/>
      <c r="D62" s="101"/>
      <c r="E62" s="101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</row>
    <row r="63" customFormat="false" ht="18" hidden="false" customHeight="true" outlineLevel="0" collapsed="false">
      <c r="B63" s="92" t="s">
        <v>327</v>
      </c>
      <c r="C63" s="113" t="n">
        <f aca="false">IFERROR('📊 Hist Data'!G71,0)</f>
        <v>0</v>
      </c>
      <c r="D63" s="94" t="s">
        <v>328</v>
      </c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</row>
    <row r="64" customFormat="false" ht="18" hidden="false" customHeight="true" outlineLevel="0" collapsed="false">
      <c r="B64" s="92" t="s">
        <v>329</v>
      </c>
      <c r="C64" s="113" t="n">
        <f aca="false">IFERROR('📊 Hist Data'!G70,0)</f>
        <v>0</v>
      </c>
      <c r="D64" s="94" t="s">
        <v>330</v>
      </c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</row>
    <row r="65" customFormat="false" ht="18" hidden="false" customHeight="true" outlineLevel="0" collapsed="false">
      <c r="B65" s="92" t="s">
        <v>331</v>
      </c>
      <c r="C65" s="106" t="n">
        <f aca="false">IFERROR(C63/C64,0.085)</f>
        <v>0.085</v>
      </c>
    </row>
    <row r="66" customFormat="false" ht="18" hidden="false" customHeight="true" outlineLevel="0" collapsed="false">
      <c r="B66" s="92" t="s">
        <v>332</v>
      </c>
      <c r="C66" s="106" t="n">
        <f aca="false">IFERROR(C65*(1-$C$15),0)</f>
        <v>0.085</v>
      </c>
    </row>
    <row r="68" customFormat="false" ht="18" hidden="false" customHeight="true" outlineLevel="0" collapsed="false">
      <c r="B68" s="101" t="s">
        <v>333</v>
      </c>
      <c r="C68" s="101"/>
      <c r="D68" s="101"/>
      <c r="E68" s="101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</row>
    <row r="69" customFormat="false" ht="21.75" hidden="false" customHeight="true" outlineLevel="0" collapsed="false">
      <c r="B69" s="92" t="s">
        <v>334</v>
      </c>
      <c r="C69" s="113" t="n">
        <f aca="false">IFERROR('📊 Hist Data'!G68,0)</f>
        <v>0</v>
      </c>
      <c r="D69" s="94" t="s">
        <v>335</v>
      </c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</row>
    <row r="70" customFormat="false" ht="18" hidden="false" customHeight="true" outlineLevel="0" collapsed="false">
      <c r="B70" s="92" t="s">
        <v>336</v>
      </c>
      <c r="C70" s="113" t="n">
        <f aca="false">IFERROR('📊 Hist Data'!G62,0)</f>
        <v>0</v>
      </c>
      <c r="D70" s="94" t="s">
        <v>337</v>
      </c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</row>
    <row r="71" customFormat="false" ht="18" hidden="false" customHeight="true" outlineLevel="0" collapsed="false">
      <c r="B71" s="92" t="s">
        <v>338</v>
      </c>
      <c r="C71" s="106" t="n">
        <f aca="false">IFERROR(C69/(C69+C70),0.6)</f>
        <v>0.6</v>
      </c>
    </row>
    <row r="72" customFormat="false" ht="18" hidden="false" customHeight="true" outlineLevel="0" collapsed="false">
      <c r="B72" s="92" t="s">
        <v>339</v>
      </c>
      <c r="C72" s="106" t="n">
        <f aca="false">IFERROR(1-C71,0.4)</f>
        <v>0.4</v>
      </c>
    </row>
    <row r="74" customFormat="false" ht="18" hidden="false" customHeight="true" outlineLevel="0" collapsed="false">
      <c r="B74" s="101" t="s">
        <v>340</v>
      </c>
      <c r="C74" s="101"/>
      <c r="D74" s="101"/>
      <c r="E74" s="101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</row>
    <row r="75" customFormat="false" ht="21.75" hidden="false" customHeight="true" outlineLevel="0" collapsed="false">
      <c r="B75" s="92" t="s">
        <v>341</v>
      </c>
      <c r="C75" s="144" t="n">
        <f aca="false">IFERROR(C59*C71+C66*C72,0)</f>
        <v>0.034</v>
      </c>
    </row>
    <row r="76" customFormat="false" ht="18" hidden="false" customHeight="true" outlineLevel="0" collapsed="false">
      <c r="B76" s="92" t="s">
        <v>342</v>
      </c>
      <c r="C76" s="145" t="n">
        <f aca="false">IFERROR(C60*C71+C66*C72*0.98,0)</f>
        <v>0.03332</v>
      </c>
    </row>
    <row r="77" customFormat="false" ht="18" hidden="false" customHeight="true" outlineLevel="0" collapsed="false">
      <c r="B77" s="92" t="s">
        <v>343</v>
      </c>
      <c r="C77" s="146" t="n">
        <f aca="false">IFERROR(C76-C14,0)</f>
        <v>0.03332</v>
      </c>
    </row>
    <row r="80" customFormat="false" ht="21.75" hidden="false" customHeight="true" outlineLevel="0" collapsed="false">
      <c r="B80" s="112" t="s">
        <v>344</v>
      </c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2"/>
      <c r="Q80" s="112"/>
    </row>
    <row r="81" customFormat="false" ht="21.75" hidden="false" customHeight="true" outlineLevel="0" collapsed="false">
      <c r="B81" s="147" t="s">
        <v>313</v>
      </c>
      <c r="C81" s="147" t="s">
        <v>252</v>
      </c>
      <c r="D81" s="94" t="s">
        <v>314</v>
      </c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</row>
    <row r="82" customFormat="false" ht="27.75" hidden="false" customHeight="true" outlineLevel="0" collapsed="false">
      <c r="B82" s="95" t="s">
        <v>345</v>
      </c>
      <c r="C82" s="97" t="n">
        <v>0.065</v>
      </c>
      <c r="D82" s="94" t="s">
        <v>346</v>
      </c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</row>
    <row r="83" customFormat="false" ht="27.75" hidden="false" customHeight="true" outlineLevel="0" collapsed="false">
      <c r="B83" s="148" t="s">
        <v>347</v>
      </c>
      <c r="C83" s="149" t="s">
        <v>348</v>
      </c>
      <c r="D83" s="94" t="s">
        <v>349</v>
      </c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</row>
    <row r="86" customFormat="false" ht="19.5" hidden="false" customHeight="true" outlineLevel="0" collapsed="false">
      <c r="B86" s="88" t="s">
        <v>350</v>
      </c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</row>
    <row r="87" customFormat="false" ht="21.75" hidden="false" customHeight="true" outlineLevel="0" collapsed="false">
      <c r="B87" s="90" t="s">
        <v>351</v>
      </c>
      <c r="C87" s="90" t="s">
        <v>252</v>
      </c>
      <c r="D87" s="94" t="s">
        <v>107</v>
      </c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</row>
    <row r="88" customFormat="false" ht="21.75" hidden="false" customHeight="true" outlineLevel="0" collapsed="false">
      <c r="B88" s="92" t="s">
        <v>223</v>
      </c>
      <c r="C88" s="150" t="n">
        <f aca="false">IFERROR('📊 Hist Data'!G62,0)</f>
        <v>0</v>
      </c>
      <c r="D88" s="94" t="s">
        <v>352</v>
      </c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</row>
    <row r="89" customFormat="false" ht="21.75" hidden="false" customHeight="true" outlineLevel="0" collapsed="false">
      <c r="B89" s="92" t="s">
        <v>353</v>
      </c>
      <c r="C89" s="150" t="n">
        <f aca="false">IFERROR('📊 Hist Data'!G63,0)</f>
        <v>0</v>
      </c>
      <c r="D89" s="94" t="s">
        <v>354</v>
      </c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</row>
    <row r="90" customFormat="false" ht="21.75" hidden="false" customHeight="true" outlineLevel="0" collapsed="false">
      <c r="B90" s="151" t="s">
        <v>355</v>
      </c>
      <c r="C90" s="152"/>
      <c r="D90" s="94" t="s">
        <v>356</v>
      </c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</row>
    <row r="91" customFormat="false" ht="21.75" hidden="false" customHeight="true" outlineLevel="0" collapsed="false">
      <c r="B91" s="92" t="s">
        <v>357</v>
      </c>
      <c r="C91" s="150" t="n">
        <f aca="false">IFERROR('📊 Hist Data'!G66,0)</f>
        <v>0</v>
      </c>
      <c r="D91" s="94" t="s">
        <v>358</v>
      </c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</row>
    <row r="92" customFormat="false" ht="21.75" hidden="false" customHeight="true" outlineLevel="0" collapsed="false">
      <c r="B92" s="92" t="s">
        <v>232</v>
      </c>
      <c r="C92" s="153" t="n">
        <f aca="false">IFERROR('📊 Hist Data'!G69,0)</f>
        <v>0</v>
      </c>
      <c r="D92" s="94" t="s">
        <v>359</v>
      </c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</row>
    <row r="93" customFormat="false" ht="21.75" hidden="false" customHeight="true" outlineLevel="0" collapsed="false">
      <c r="B93" s="151" t="s">
        <v>360</v>
      </c>
      <c r="C93" s="152"/>
      <c r="D93" s="94" t="s">
        <v>361</v>
      </c>
      <c r="E93" s="94"/>
      <c r="F93" s="94"/>
      <c r="G93" s="94"/>
      <c r="H93" s="94"/>
      <c r="I93" s="94"/>
      <c r="J93" s="94"/>
      <c r="K93" s="94"/>
      <c r="L93" s="94"/>
      <c r="M93" s="94"/>
      <c r="N93" s="94"/>
      <c r="O93" s="94"/>
      <c r="P93" s="94"/>
      <c r="Q93" s="94"/>
    </row>
    <row r="95" customFormat="false" ht="21.75" hidden="false" customHeight="true" outlineLevel="0" collapsed="false">
      <c r="B95" s="95" t="s">
        <v>362</v>
      </c>
      <c r="C95" s="154" t="n">
        <f aca="false">IFERROR(C89-C88-C90,0)</f>
        <v>0</v>
      </c>
      <c r="D95" s="94" t="s">
        <v>363</v>
      </c>
      <c r="E95" s="94"/>
      <c r="F95" s="94"/>
      <c r="G95" s="94"/>
      <c r="H95" s="94"/>
      <c r="I95" s="94"/>
      <c r="J95" s="94"/>
      <c r="K95" s="94"/>
      <c r="L95" s="94"/>
      <c r="M95" s="94"/>
      <c r="N95" s="94"/>
      <c r="O95" s="94"/>
      <c r="P95" s="94"/>
      <c r="Q95" s="94"/>
    </row>
  </sheetData>
  <mergeCells count="45">
    <mergeCell ref="B1:Q1"/>
    <mergeCell ref="B2:Q2"/>
    <mergeCell ref="B4:Q4"/>
    <mergeCell ref="D5:Q5"/>
    <mergeCell ref="D6:Q6"/>
    <mergeCell ref="D7:Q7"/>
    <mergeCell ref="D8:Q8"/>
    <mergeCell ref="D9:Q9"/>
    <mergeCell ref="D10:Q10"/>
    <mergeCell ref="D11:Q11"/>
    <mergeCell ref="D12:Q12"/>
    <mergeCell ref="D13:Q13"/>
    <mergeCell ref="D14:Q14"/>
    <mergeCell ref="D15:Q15"/>
    <mergeCell ref="D16:Q16"/>
    <mergeCell ref="B19:Q19"/>
    <mergeCell ref="B27:Q27"/>
    <mergeCell ref="B33:Q33"/>
    <mergeCell ref="B52:Q52"/>
    <mergeCell ref="D53:Q53"/>
    <mergeCell ref="B54:Q54"/>
    <mergeCell ref="D55:Q55"/>
    <mergeCell ref="D56:Q56"/>
    <mergeCell ref="D57:Q57"/>
    <mergeCell ref="D58:Q58"/>
    <mergeCell ref="B62:Q62"/>
    <mergeCell ref="D63:Q63"/>
    <mergeCell ref="D64:Q64"/>
    <mergeCell ref="B68:Q68"/>
    <mergeCell ref="D69:Q69"/>
    <mergeCell ref="D70:Q70"/>
    <mergeCell ref="B74:Q74"/>
    <mergeCell ref="B80:Q80"/>
    <mergeCell ref="D81:Q81"/>
    <mergeCell ref="D82:Q82"/>
    <mergeCell ref="D83:Q83"/>
    <mergeCell ref="B86:Q86"/>
    <mergeCell ref="D87:Q87"/>
    <mergeCell ref="D88:Q88"/>
    <mergeCell ref="D89:Q89"/>
    <mergeCell ref="D90:Q90"/>
    <mergeCell ref="D91:Q91"/>
    <mergeCell ref="D92:Q92"/>
    <mergeCell ref="D93:Q93"/>
    <mergeCell ref="D95:Q9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2" activeCellId="0" sqref="A22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7.5"/>
    <col collapsed="false" customWidth="true" hidden="false" outlineLevel="0" max="3" min="3" style="1" width="13"/>
    <col collapsed="false" customWidth="true" hidden="false" outlineLevel="0" max="11" min="4" style="1" width="11"/>
    <col collapsed="false" customWidth="true" hidden="false" outlineLevel="0" max="12" min="12" style="1" width="55"/>
    <col collapsed="false" customWidth="true" hidden="false" outlineLevel="0" max="15" min="13" style="1" width="13"/>
  </cols>
  <sheetData>
    <row r="1" customFormat="false" ht="27.75" hidden="false" customHeight="true" outlineLevel="0" collapsed="false">
      <c r="B1" s="155" t="s">
        <v>364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  <c r="O1" s="155"/>
    </row>
    <row r="2" customFormat="false" ht="27.75" hidden="false" customHeight="true" outlineLevel="0" collapsed="false">
      <c r="B2" s="24" t="s">
        <v>365</v>
      </c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</row>
    <row r="3" customFormat="false" ht="21.75" hidden="false" customHeight="true" outlineLevel="0" collapsed="false">
      <c r="B3" s="13" t="s">
        <v>366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customFormat="false" ht="19.5" hidden="false" customHeight="true" outlineLevel="0" collapsed="false">
      <c r="B4" s="156" t="s">
        <v>367</v>
      </c>
      <c r="C4" s="157" t="s">
        <v>368</v>
      </c>
      <c r="D4" s="26" t="s">
        <v>277</v>
      </c>
      <c r="E4" s="26" t="s">
        <v>278</v>
      </c>
      <c r="F4" s="158" t="s">
        <v>279</v>
      </c>
      <c r="G4" s="158" t="s">
        <v>280</v>
      </c>
      <c r="H4" s="158" t="s">
        <v>281</v>
      </c>
      <c r="I4" s="158" t="s">
        <v>282</v>
      </c>
      <c r="J4" s="158" t="s">
        <v>283</v>
      </c>
      <c r="K4" s="158" t="s">
        <v>284</v>
      </c>
    </row>
    <row r="5" customFormat="false" ht="18" hidden="false" customHeight="true" outlineLevel="0" collapsed="false">
      <c r="B5" s="159" t="s">
        <v>369</v>
      </c>
      <c r="C5" s="160" t="n">
        <f aca="false">IFERROR('📊 Hist Data'!G5,0)</f>
        <v>0</v>
      </c>
      <c r="D5" s="160" t="n">
        <f aca="false">C5*(1+D6)</f>
        <v>0</v>
      </c>
      <c r="E5" s="160" t="n">
        <f aca="false">D5*(1+E6)</f>
        <v>0</v>
      </c>
      <c r="F5" s="161" t="n">
        <f aca="false">E5*(1+F6)</f>
        <v>0</v>
      </c>
      <c r="G5" s="161" t="n">
        <f aca="false">F5*(1+G6)</f>
        <v>0</v>
      </c>
      <c r="H5" s="161" t="n">
        <f aca="false">G5*(1+H6)</f>
        <v>0</v>
      </c>
      <c r="I5" s="161" t="n">
        <f aca="false">H5*(1+I6)</f>
        <v>0</v>
      </c>
      <c r="J5" s="161" t="n">
        <f aca="false">I5*(1+J6)</f>
        <v>0</v>
      </c>
      <c r="K5" s="161" t="n">
        <f aca="false">J5*(1+K6)</f>
        <v>0</v>
      </c>
    </row>
    <row r="6" customFormat="false" ht="18" hidden="false" customHeight="true" outlineLevel="0" collapsed="false">
      <c r="B6" s="159" t="s">
        <v>370</v>
      </c>
      <c r="C6" s="162" t="n">
        <f aca="false">IFERROR('📊 Hist Data'!G21,0)</f>
        <v>0</v>
      </c>
      <c r="D6" s="162" t="n">
        <f aca="false">'🔑 Assumptions'!D21</f>
        <v>0</v>
      </c>
      <c r="E6" s="162" t="n">
        <f aca="false">'🔑 Assumptions'!E21</f>
        <v>0</v>
      </c>
      <c r="F6" s="163" t="n">
        <f aca="false">'🔑 Assumptions'!F21</f>
        <v>0</v>
      </c>
      <c r="G6" s="163" t="n">
        <f aca="false">'🔑 Assumptions'!G21</f>
        <v>0</v>
      </c>
      <c r="H6" s="163" t="n">
        <f aca="false">'🔑 Assumptions'!H21</f>
        <v>0</v>
      </c>
      <c r="I6" s="163" t="n">
        <f aca="false">'🔑 Assumptions'!I21</f>
        <v>0</v>
      </c>
      <c r="J6" s="163" t="n">
        <f aca="false">'🔑 Assumptions'!J21</f>
        <v>0</v>
      </c>
      <c r="K6" s="163" t="n">
        <f aca="false">'🔑 Assumptions'!K21</f>
        <v>0</v>
      </c>
    </row>
    <row r="7" customFormat="false" ht="18" hidden="false" customHeight="true" outlineLevel="0" collapsed="false">
      <c r="B7" s="159" t="s">
        <v>371</v>
      </c>
      <c r="C7" s="160" t="n">
        <f aca="false">IFERROR('📊 Hist Data'!G6,0)</f>
        <v>0</v>
      </c>
      <c r="D7" s="160" t="n">
        <f aca="false">D5*D8</f>
        <v>0</v>
      </c>
      <c r="E7" s="160" t="n">
        <f aca="false">E5*E8</f>
        <v>0</v>
      </c>
      <c r="F7" s="161" t="n">
        <f aca="false">F5*F8</f>
        <v>0</v>
      </c>
      <c r="G7" s="161" t="n">
        <f aca="false">G5*G8</f>
        <v>0</v>
      </c>
      <c r="H7" s="161" t="n">
        <f aca="false">H5*H8</f>
        <v>0</v>
      </c>
      <c r="I7" s="161" t="n">
        <f aca="false">I5*I8</f>
        <v>0</v>
      </c>
      <c r="J7" s="161" t="n">
        <f aca="false">J5*J8</f>
        <v>0</v>
      </c>
      <c r="K7" s="161" t="n">
        <f aca="false">K5*K8</f>
        <v>0</v>
      </c>
    </row>
    <row r="8" customFormat="false" ht="18" hidden="false" customHeight="true" outlineLevel="0" collapsed="false">
      <c r="B8" s="159" t="s">
        <v>372</v>
      </c>
      <c r="C8" s="162" t="n">
        <f aca="false">IFERROR('📊 Hist Data'!G77,0)</f>
        <v>0</v>
      </c>
      <c r="D8" s="162" t="n">
        <f aca="false">'🔑 Assumptions'!D22</f>
        <v>0</v>
      </c>
      <c r="E8" s="162" t="n">
        <f aca="false">'🔑 Assumptions'!E22</f>
        <v>0</v>
      </c>
      <c r="F8" s="164" t="n">
        <f aca="false">'🔑 Assumptions'!F22</f>
        <v>0</v>
      </c>
      <c r="G8" s="165" t="n">
        <f aca="false">'🔑 Assumptions'!G22</f>
        <v>0</v>
      </c>
      <c r="H8" s="164" t="n">
        <f aca="false">'🔑 Assumptions'!H22</f>
        <v>0</v>
      </c>
      <c r="I8" s="164" t="n">
        <f aca="false">'🔑 Assumptions'!I22</f>
        <v>0</v>
      </c>
      <c r="J8" s="164" t="n">
        <f aca="false">'🔑 Assumptions'!J22</f>
        <v>0</v>
      </c>
      <c r="K8" s="164" t="n">
        <f aca="false">'🔑 Assumptions'!K22</f>
        <v>0</v>
      </c>
    </row>
    <row r="9" customFormat="false" ht="18" hidden="false" customHeight="true" outlineLevel="0" collapsed="false">
      <c r="B9" s="159" t="s">
        <v>373</v>
      </c>
      <c r="C9" s="160" t="n">
        <f aca="false">IFERROR('📊 Hist Data'!G9,0)</f>
        <v>0</v>
      </c>
      <c r="D9" s="160" t="n">
        <f aca="false">IFERROR(D5*'🔑 Assumptions'!D23,0)</f>
        <v>0</v>
      </c>
      <c r="E9" s="160" t="n">
        <f aca="false">IFERROR(E5*'🔑 Assumptions'!E23,0)</f>
        <v>0</v>
      </c>
      <c r="F9" s="161" t="n">
        <f aca="false">IFERROR(F5*'🔑 Assumptions'!F23,0)</f>
        <v>0</v>
      </c>
      <c r="G9" s="161" t="n">
        <f aca="false">IFERROR(G5*'🔑 Assumptions'!G23,0)</f>
        <v>0</v>
      </c>
      <c r="H9" s="161" t="n">
        <f aca="false">IFERROR(H5*'🔑 Assumptions'!H23,0)</f>
        <v>0</v>
      </c>
      <c r="I9" s="161" t="n">
        <f aca="false">IFERROR(I5*'🔑 Assumptions'!I23,0)</f>
        <v>0</v>
      </c>
      <c r="J9" s="161" t="n">
        <f aca="false">IFERROR(J5*'🔑 Assumptions'!J23,0)</f>
        <v>0</v>
      </c>
      <c r="K9" s="161" t="n">
        <f aca="false">IFERROR(K5*'🔑 Assumptions'!K23,0)</f>
        <v>0</v>
      </c>
    </row>
    <row r="10" customFormat="false" ht="18" hidden="false" customHeight="true" outlineLevel="0" collapsed="false">
      <c r="B10" s="159" t="s">
        <v>164</v>
      </c>
      <c r="C10" s="160" t="n">
        <f aca="false">IFERROR('📊 Hist Data'!G80*'📊 Hist Data'!G5,0)</f>
        <v>0</v>
      </c>
      <c r="D10" s="160" t="n">
        <f aca="false">IFERROR(D7-D9,0)</f>
        <v>0</v>
      </c>
      <c r="E10" s="160" t="n">
        <f aca="false">IFERROR(E7-E9,0)</f>
        <v>0</v>
      </c>
      <c r="F10" s="161" t="n">
        <f aca="false">IFERROR(F7-F9,0)</f>
        <v>0</v>
      </c>
      <c r="G10" s="161" t="n">
        <f aca="false">IFERROR(G7-G9,0)</f>
        <v>0</v>
      </c>
      <c r="H10" s="161" t="n">
        <f aca="false">IFERROR(H7-H9,0)</f>
        <v>0</v>
      </c>
      <c r="I10" s="161" t="n">
        <f aca="false">IFERROR(I7-I9,0)</f>
        <v>0</v>
      </c>
      <c r="J10" s="161" t="n">
        <f aca="false">IFERROR(J7-J9,0)</f>
        <v>0</v>
      </c>
      <c r="K10" s="161" t="n">
        <f aca="false">IFERROR(K7-K9,0)</f>
        <v>0</v>
      </c>
    </row>
    <row r="11" customFormat="false" ht="18" hidden="false" customHeight="true" outlineLevel="0" collapsed="false">
      <c r="B11" s="159" t="s">
        <v>374</v>
      </c>
      <c r="C11" s="162" t="n">
        <f aca="false">IFERROR('📊 Hist Data'!G80,0)</f>
        <v>0</v>
      </c>
      <c r="D11" s="162" t="n">
        <f aca="false">IFERROR(D10/D5,0)</f>
        <v>0</v>
      </c>
      <c r="E11" s="162" t="n">
        <f aca="false">IFERROR(E10/E5,0)</f>
        <v>0</v>
      </c>
      <c r="F11" s="164" t="n">
        <f aca="false">IFERROR(F10/F5,0)</f>
        <v>0</v>
      </c>
      <c r="G11" s="164" t="n">
        <f aca="false">IFERROR(G10/G5,0)</f>
        <v>0</v>
      </c>
      <c r="H11" s="164" t="n">
        <f aca="false">IFERROR(H10/H5,0)</f>
        <v>0</v>
      </c>
      <c r="I11" s="164" t="n">
        <f aca="false">IFERROR(I10/I5,0)</f>
        <v>0</v>
      </c>
      <c r="J11" s="164" t="n">
        <f aca="false">IFERROR(J10/J5,0)</f>
        <v>0</v>
      </c>
      <c r="K11" s="164" t="n">
        <f aca="false">IFERROR(K10/K5,0)</f>
        <v>0</v>
      </c>
    </row>
    <row r="12" customFormat="false" ht="18" hidden="false" customHeight="true" outlineLevel="0" collapsed="false">
      <c r="B12" s="166" t="s">
        <v>375</v>
      </c>
      <c r="C12" s="160" t="n">
        <f aca="false">IFERROR('📊 Hist Data'!G8,0)</f>
        <v>0</v>
      </c>
      <c r="D12" s="160" t="n">
        <f aca="false">$C$12</f>
        <v>0</v>
      </c>
      <c r="E12" s="160" t="n">
        <f aca="false">$C$12</f>
        <v>0</v>
      </c>
      <c r="F12" s="161" t="n">
        <f aca="false">$C$12</f>
        <v>0</v>
      </c>
      <c r="G12" s="161" t="n">
        <f aca="false">$C$12</f>
        <v>0</v>
      </c>
      <c r="H12" s="161" t="n">
        <f aca="false">$C$12</f>
        <v>0</v>
      </c>
      <c r="I12" s="161" t="n">
        <f aca="false">$C$12</f>
        <v>0</v>
      </c>
      <c r="J12" s="161" t="n">
        <f aca="false">$C$12</f>
        <v>0</v>
      </c>
      <c r="K12" s="161" t="n">
        <f aca="false">$C$12</f>
        <v>0</v>
      </c>
    </row>
    <row r="13" customFormat="false" ht="18" hidden="false" customHeight="true" outlineLevel="0" collapsed="false">
      <c r="B13" s="166" t="s">
        <v>376</v>
      </c>
      <c r="C13" s="160" t="n">
        <f aca="false">IFERROR(ABS('📊 Hist Data'!G7),0)</f>
        <v>0</v>
      </c>
      <c r="D13" s="160" t="n">
        <f aca="false">IFERROR(ABS(C13)*1.03,0)</f>
        <v>0</v>
      </c>
      <c r="E13" s="160" t="n">
        <f aca="false">IFERROR(ABS(D13)*1.03,0)</f>
        <v>0</v>
      </c>
      <c r="F13" s="161" t="n">
        <f aca="false">IFERROR(ABS(E13)*1.03,0)</f>
        <v>0</v>
      </c>
      <c r="G13" s="161" t="n">
        <f aca="false">IFERROR(ABS(F13)*1.03,0)</f>
        <v>0</v>
      </c>
      <c r="H13" s="161" t="n">
        <f aca="false">IFERROR(ABS(G13)*1.03,0)</f>
        <v>0</v>
      </c>
      <c r="I13" s="161" t="n">
        <f aca="false">IFERROR(ABS(H13)*1.03,0)</f>
        <v>0</v>
      </c>
      <c r="J13" s="161" t="n">
        <f aca="false">IFERROR(ABS(I13)*1.03,0)</f>
        <v>0</v>
      </c>
      <c r="K13" s="161" t="n">
        <f aca="false">IFERROR(ABS(J13)*1.03,0)</f>
        <v>0</v>
      </c>
      <c r="L13" s="167" t="s">
        <v>377</v>
      </c>
    </row>
    <row r="14" customFormat="false" ht="18" hidden="false" customHeight="true" outlineLevel="0" collapsed="false">
      <c r="B14" s="159" t="s">
        <v>378</v>
      </c>
      <c r="C14" s="160" t="n">
        <f aca="false">IFERROR('📊 Hist Data'!G10,0)</f>
        <v>0</v>
      </c>
      <c r="D14" s="160" t="n">
        <f aca="false">IFERROR(D10-D12+D13,0)</f>
        <v>0</v>
      </c>
      <c r="E14" s="160" t="n">
        <f aca="false">IFERROR(E10-E12+E13,0)</f>
        <v>0</v>
      </c>
      <c r="F14" s="161" t="n">
        <f aca="false">IFERROR(F10-F12+F13,0)</f>
        <v>0</v>
      </c>
      <c r="G14" s="161" t="n">
        <f aca="false">IFERROR(G10-G12+G13,0)</f>
        <v>0</v>
      </c>
      <c r="H14" s="161" t="n">
        <f aca="false">IFERROR(H10-H12+H13,0)</f>
        <v>0</v>
      </c>
      <c r="I14" s="161" t="n">
        <f aca="false">IFERROR(I10-I12+I13,0)</f>
        <v>0</v>
      </c>
      <c r="J14" s="161" t="n">
        <f aca="false">IFERROR(J10-J12+J13,0)</f>
        <v>0</v>
      </c>
      <c r="K14" s="161" t="n">
        <f aca="false">IFERROR(K10-K12+K13,0)</f>
        <v>0</v>
      </c>
    </row>
    <row r="15" customFormat="false" ht="18" hidden="false" customHeight="true" outlineLevel="0" collapsed="false">
      <c r="B15" s="159" t="s">
        <v>379</v>
      </c>
      <c r="C15" s="160" t="n">
        <f aca="false">IFERROR('📊 Hist Data'!G12,0)</f>
        <v>0</v>
      </c>
      <c r="D15" s="160" t="n">
        <f aca="false">MAX(0,'🔑 Assumptions'!$C$15*D14)</f>
        <v>0</v>
      </c>
      <c r="E15" s="160" t="n">
        <f aca="false">MAX(0,'🔑 Assumptions'!$C$15*E14)</f>
        <v>0</v>
      </c>
      <c r="F15" s="161" t="n">
        <f aca="false">MAX(0,'🔑 Assumptions'!$C$15*F14)</f>
        <v>0</v>
      </c>
      <c r="G15" s="161" t="n">
        <f aca="false">MAX(0,'🔑 Assumptions'!$C$15*G14)</f>
        <v>0</v>
      </c>
      <c r="H15" s="161" t="n">
        <f aca="false">MAX(0,'🔑 Assumptions'!$C$15*H14)</f>
        <v>0</v>
      </c>
      <c r="I15" s="161" t="n">
        <f aca="false">MAX(0,'🔑 Assumptions'!$C$15*I14)</f>
        <v>0</v>
      </c>
      <c r="J15" s="161" t="n">
        <f aca="false">MAX(0,'🔑 Assumptions'!$C$15*J14)</f>
        <v>0</v>
      </c>
      <c r="K15" s="161" t="n">
        <f aca="false">MAX(0,'🔑 Assumptions'!$C$15*K14)</f>
        <v>0</v>
      </c>
    </row>
    <row r="16" customFormat="false" ht="18" hidden="false" customHeight="true" outlineLevel="0" collapsed="false">
      <c r="B16" s="159" t="s">
        <v>380</v>
      </c>
      <c r="C16" s="162" t="n">
        <f aca="false">IFERROR('📊 Hist Data'!G13,0)</f>
        <v>0</v>
      </c>
      <c r="D16" s="162" t="n">
        <f aca="false">IFERROR(D15/D14,0)</f>
        <v>0</v>
      </c>
      <c r="E16" s="162" t="n">
        <f aca="false">IFERROR(E15/E14,0)</f>
        <v>0</v>
      </c>
      <c r="F16" s="164" t="n">
        <f aca="false">IFERROR(F15/F14,0)</f>
        <v>0</v>
      </c>
      <c r="G16" s="164" t="n">
        <f aca="false">IFERROR(G15/G14,0)</f>
        <v>0</v>
      </c>
      <c r="H16" s="164" t="n">
        <f aca="false">IFERROR(H15/H14,0)</f>
        <v>0</v>
      </c>
      <c r="I16" s="164" t="n">
        <f aca="false">IFERROR(I15/I14,0)</f>
        <v>0</v>
      </c>
      <c r="J16" s="164" t="n">
        <f aca="false">IFERROR(J15/J14,0)</f>
        <v>0</v>
      </c>
      <c r="K16" s="164" t="n">
        <f aca="false">IFERROR(K15/K14,0)</f>
        <v>0</v>
      </c>
    </row>
    <row r="17" customFormat="false" ht="18" hidden="false" customHeight="true" outlineLevel="0" collapsed="false">
      <c r="B17" s="159" t="s">
        <v>381</v>
      </c>
      <c r="C17" s="160" t="n">
        <f aca="false">IFERROR('📊 Hist Data'!G14,0)</f>
        <v>0</v>
      </c>
      <c r="D17" s="160" t="n">
        <f aca="false">IFERROR(D14-D15,0)</f>
        <v>0</v>
      </c>
      <c r="E17" s="160" t="n">
        <f aca="false">IFERROR(E14-E15,0)</f>
        <v>0</v>
      </c>
      <c r="F17" s="161" t="n">
        <f aca="false">IFERROR(F14-F15,0)</f>
        <v>0</v>
      </c>
      <c r="G17" s="161" t="n">
        <f aca="false">IFERROR(G14-G15,0)</f>
        <v>0</v>
      </c>
      <c r="H17" s="161" t="n">
        <f aca="false">IFERROR(H14-H15,0)</f>
        <v>0</v>
      </c>
      <c r="I17" s="161" t="n">
        <f aca="false">IFERROR(I14-I15,0)</f>
        <v>0</v>
      </c>
      <c r="J17" s="161" t="n">
        <f aca="false">IFERROR(J14-J15,0)</f>
        <v>0</v>
      </c>
      <c r="K17" s="161" t="n">
        <f aca="false">IFERROR(K14-K15,0)</f>
        <v>0</v>
      </c>
    </row>
    <row r="18" customFormat="false" ht="18" hidden="false" customHeight="true" outlineLevel="0" collapsed="false">
      <c r="B18" s="32" t="s">
        <v>166</v>
      </c>
      <c r="C18" s="162" t="n">
        <f aca="false">IFERROR('📊 Hist Data'!G20,0)</f>
        <v>0</v>
      </c>
      <c r="D18" s="162" t="e">
        <f aca="false">D20/D5</f>
        <v>#DIV/0!</v>
      </c>
      <c r="E18" s="162" t="e">
        <f aca="false">E20/E5</f>
        <v>#DIV/0!</v>
      </c>
      <c r="F18" s="164" t="e">
        <f aca="false">F20/F5</f>
        <v>#DIV/0!</v>
      </c>
      <c r="G18" s="164" t="e">
        <f aca="false">G20/G5</f>
        <v>#DIV/0!</v>
      </c>
      <c r="H18" s="164" t="e">
        <f aca="false">H20/H5</f>
        <v>#DIV/0!</v>
      </c>
      <c r="I18" s="164" t="e">
        <f aca="false">I20/I5</f>
        <v>#DIV/0!</v>
      </c>
      <c r="J18" s="164" t="e">
        <f aca="false">J20/J5</f>
        <v>#DIV/0!</v>
      </c>
      <c r="K18" s="164" t="e">
        <f aca="false">K20/K5</f>
        <v>#DIV/0!</v>
      </c>
    </row>
    <row r="19" customFormat="false" ht="18" hidden="false" customHeight="true" outlineLevel="0" collapsed="false">
      <c r="B19" s="166" t="s">
        <v>382</v>
      </c>
      <c r="C19" s="160" t="n">
        <f aca="false">IFERROR(ABS('📊 Hist Data'!G15),0)</f>
        <v>0</v>
      </c>
      <c r="D19" s="160" t="n">
        <f aca="false">IFERROR(C19*1.05,0)</f>
        <v>0</v>
      </c>
      <c r="E19" s="160" t="n">
        <f aca="false">IFERROR(D19*1.05,0)</f>
        <v>0</v>
      </c>
      <c r="F19" s="161" t="n">
        <f aca="false">IFERROR(E19*1.05,0)</f>
        <v>0</v>
      </c>
      <c r="G19" s="161" t="n">
        <f aca="false">IFERROR(F19*1.05,0)</f>
        <v>0</v>
      </c>
      <c r="H19" s="161" t="n">
        <f aca="false">IFERROR(G19*1.05,0)</f>
        <v>0</v>
      </c>
      <c r="I19" s="161" t="n">
        <f aca="false">IFERROR(H19*1.05,0)</f>
        <v>0</v>
      </c>
      <c r="J19" s="161" t="n">
        <f aca="false">IFERROR(I19*1.05,0)</f>
        <v>0</v>
      </c>
      <c r="K19" s="161" t="n">
        <f aca="false">IFERROR(J19*1.05,0)</f>
        <v>0</v>
      </c>
    </row>
    <row r="20" customFormat="false" ht="18" hidden="false" customHeight="true" outlineLevel="0" collapsed="false">
      <c r="B20" s="159" t="s">
        <v>383</v>
      </c>
      <c r="C20" s="160" t="n">
        <f aca="false">IFERROR('📊 Hist Data'!G16,0)</f>
        <v>0</v>
      </c>
      <c r="D20" s="160" t="n">
        <f aca="false">IFERROR(D17-D19,0)</f>
        <v>0</v>
      </c>
      <c r="E20" s="160" t="n">
        <f aca="false">IFERROR(E17-E19,0)</f>
        <v>0</v>
      </c>
      <c r="F20" s="161" t="n">
        <f aca="false">IFERROR(F17-F19,0)</f>
        <v>0</v>
      </c>
      <c r="G20" s="161" t="n">
        <f aca="false">IFERROR(G17-G19,0)</f>
        <v>0</v>
      </c>
      <c r="H20" s="161" t="n">
        <f aca="false">IFERROR(H17-H19,0)</f>
        <v>0</v>
      </c>
      <c r="I20" s="161" t="n">
        <f aca="false">IFERROR(I17-I19,0)</f>
        <v>0</v>
      </c>
      <c r="J20" s="161" t="n">
        <f aca="false">IFERROR(J17-J19,0)</f>
        <v>0</v>
      </c>
      <c r="K20" s="161" t="n">
        <f aca="false">IFERROR(K17-K19,0)</f>
        <v>0</v>
      </c>
    </row>
    <row r="21" customFormat="false" ht="18" hidden="false" customHeight="true" outlineLevel="0" collapsed="false"/>
    <row r="22" customFormat="false" ht="18" hidden="false" customHeight="true" outlineLevel="0" collapsed="false"/>
    <row r="23" customFormat="false" ht="19.5" hidden="false" customHeight="true" outlineLevel="0" collapsed="false">
      <c r="B23" s="168" t="s">
        <v>384</v>
      </c>
      <c r="C23" s="168"/>
      <c r="D23" s="168"/>
      <c r="E23" s="168"/>
      <c r="F23" s="168"/>
      <c r="G23" s="168"/>
      <c r="H23" s="168"/>
      <c r="I23" s="168"/>
      <c r="J23" s="168"/>
      <c r="K23" s="168"/>
    </row>
    <row r="24" customFormat="false" ht="18" hidden="false" customHeight="true" outlineLevel="0" collapsed="false">
      <c r="B24" s="26" t="s">
        <v>367</v>
      </c>
      <c r="C24" s="157" t="s">
        <v>368</v>
      </c>
      <c r="D24" s="26" t="s">
        <v>277</v>
      </c>
      <c r="E24" s="26" t="s">
        <v>278</v>
      </c>
      <c r="F24" s="158" t="s">
        <v>279</v>
      </c>
      <c r="G24" s="158" t="s">
        <v>280</v>
      </c>
      <c r="H24" s="158" t="s">
        <v>281</v>
      </c>
      <c r="I24" s="158" t="s">
        <v>282</v>
      </c>
      <c r="J24" s="158" t="s">
        <v>283</v>
      </c>
      <c r="K24" s="158" t="s">
        <v>284</v>
      </c>
    </row>
    <row r="25" customFormat="false" ht="18" hidden="false" customHeight="true" outlineLevel="0" collapsed="false">
      <c r="B25" s="159" t="s">
        <v>385</v>
      </c>
      <c r="C25" s="160" t="n">
        <f aca="false">C5</f>
        <v>0</v>
      </c>
      <c r="D25" s="160" t="n">
        <f aca="false">D5</f>
        <v>0</v>
      </c>
      <c r="E25" s="160" t="n">
        <f aca="false">E5</f>
        <v>0</v>
      </c>
      <c r="F25" s="161" t="n">
        <f aca="false">F5</f>
        <v>0</v>
      </c>
      <c r="G25" s="161" t="n">
        <f aca="false">G5</f>
        <v>0</v>
      </c>
      <c r="H25" s="161" t="n">
        <f aca="false">H5</f>
        <v>0</v>
      </c>
      <c r="I25" s="161" t="n">
        <f aca="false">I5</f>
        <v>0</v>
      </c>
      <c r="J25" s="161" t="n">
        <f aca="false">J5</f>
        <v>0</v>
      </c>
      <c r="K25" s="161" t="n">
        <f aca="false">K5</f>
        <v>0</v>
      </c>
    </row>
    <row r="26" customFormat="false" ht="19.5" hidden="false" customHeight="true" outlineLevel="0" collapsed="false">
      <c r="B26" s="169" t="s">
        <v>386</v>
      </c>
      <c r="C26" s="162" t="n">
        <f aca="false">IFERROR(('📊 Hist Data'!G44+'📊 Hist Data'!G43-'📊 Hist Data'!G34-'📊 Hist Data'!G35)/'📊 Hist Data'!G5,0)</f>
        <v>0</v>
      </c>
      <c r="D26" s="162" t="n">
        <f aca="false">IFERROR('🔑 Assumptions'!D36,0)</f>
        <v>0</v>
      </c>
      <c r="E26" s="162" t="n">
        <f aca="false">IFERROR('🔑 Assumptions'!E36,0)</f>
        <v>0</v>
      </c>
      <c r="F26" s="162" t="n">
        <f aca="false">IFERROR('🔑 Assumptions'!F36,0)</f>
        <v>0</v>
      </c>
      <c r="G26" s="162" t="n">
        <f aca="false">IFERROR('🔑 Assumptions'!G36,0)</f>
        <v>0</v>
      </c>
      <c r="H26" s="162" t="n">
        <f aca="false">IFERROR('🔑 Assumptions'!H36,0)</f>
        <v>0</v>
      </c>
      <c r="I26" s="162" t="n">
        <f aca="false">IFERROR('🔑 Assumptions'!I36,0)</f>
        <v>0</v>
      </c>
      <c r="J26" s="162" t="n">
        <f aca="false">IFERROR('🔑 Assumptions'!J36,0)</f>
        <v>0</v>
      </c>
      <c r="K26" s="162" t="n">
        <f aca="false">IFERROR('🔑 Assumptions'!K36,0)</f>
        <v>0</v>
      </c>
    </row>
    <row r="27" customFormat="false" ht="21.75" hidden="false" customHeight="true" outlineLevel="0" collapsed="false">
      <c r="B27" s="47" t="s">
        <v>387</v>
      </c>
      <c r="C27" s="170" t="n">
        <f aca="false">IFERROR('📊 Hist Data'!G44+'📊 Hist Data'!G43-'📊 Hist Data'!G34-'📊 Hist Data'!G35,0)</f>
        <v>0</v>
      </c>
      <c r="D27" s="170" t="n">
        <f aca="false">IFERROR(D26*D25,0)</f>
        <v>0</v>
      </c>
      <c r="E27" s="170" t="n">
        <f aca="false">IFERROR(E26*E25,0)</f>
        <v>0</v>
      </c>
      <c r="F27" s="170" t="n">
        <f aca="false">IFERROR(F26*F25,0)</f>
        <v>0</v>
      </c>
      <c r="G27" s="170" t="n">
        <f aca="false">IFERROR(G26*G25,0)</f>
        <v>0</v>
      </c>
      <c r="H27" s="170" t="n">
        <f aca="false">IFERROR(H26*H25,0)</f>
        <v>0</v>
      </c>
      <c r="I27" s="170" t="n">
        <f aca="false">IFERROR(I26*I25,0)</f>
        <v>0</v>
      </c>
      <c r="J27" s="170" t="n">
        <f aca="false">IFERROR(J26*J25,0)</f>
        <v>0</v>
      </c>
      <c r="K27" s="170" t="n">
        <f aca="false">IFERROR(K26*K25,0)</f>
        <v>0</v>
      </c>
    </row>
    <row r="28" customFormat="false" ht="3.75" hidden="false" customHeight="true" outlineLevel="0" collapsed="false">
      <c r="A28" s="79"/>
      <c r="B28" s="159"/>
      <c r="C28" s="171"/>
      <c r="D28" s="171"/>
      <c r="E28" s="171"/>
      <c r="F28" s="171"/>
      <c r="G28" s="171"/>
      <c r="H28" s="171"/>
      <c r="I28" s="171"/>
      <c r="J28" s="171"/>
      <c r="K28" s="171"/>
      <c r="L28" s="79"/>
      <c r="M28" s="79"/>
      <c r="N28" s="79"/>
      <c r="O28" s="79"/>
      <c r="P28" s="79"/>
      <c r="Q28" s="79"/>
      <c r="R28" s="79"/>
      <c r="S28" s="79"/>
    </row>
    <row r="29" customFormat="false" ht="3.75" hidden="false" customHeight="true" outlineLevel="0" collapsed="false">
      <c r="A29" s="79"/>
      <c r="B29" s="159"/>
      <c r="C29" s="171"/>
      <c r="D29" s="171"/>
      <c r="E29" s="171"/>
      <c r="F29" s="171"/>
      <c r="G29" s="171"/>
      <c r="H29" s="171"/>
      <c r="I29" s="171"/>
      <c r="J29" s="171"/>
      <c r="K29" s="171"/>
      <c r="L29" s="32"/>
      <c r="M29" s="79"/>
      <c r="N29" s="79"/>
      <c r="O29" s="79"/>
      <c r="P29" s="79"/>
      <c r="Q29" s="79"/>
      <c r="R29" s="79"/>
      <c r="S29" s="79"/>
    </row>
    <row r="30" customFormat="false" ht="3.75" hidden="false" customHeight="true" outlineLevel="0" collapsed="false">
      <c r="A30" s="79"/>
      <c r="B30" s="159"/>
      <c r="C30" s="171"/>
      <c r="D30" s="171"/>
      <c r="E30" s="171"/>
      <c r="F30" s="171"/>
      <c r="G30" s="171"/>
      <c r="H30" s="171"/>
      <c r="I30" s="171"/>
      <c r="J30" s="171"/>
      <c r="K30" s="171"/>
      <c r="L30" s="79"/>
      <c r="M30" s="79"/>
      <c r="N30" s="79"/>
      <c r="O30" s="79"/>
      <c r="P30" s="79"/>
      <c r="Q30" s="79"/>
      <c r="R30" s="79"/>
      <c r="S30" s="79"/>
    </row>
    <row r="31" customFormat="false" ht="3.75" hidden="false" customHeight="true" outlineLevel="0" collapsed="false">
      <c r="A31" s="79"/>
      <c r="B31" s="159"/>
      <c r="C31" s="171"/>
      <c r="D31" s="171"/>
      <c r="E31" s="171"/>
      <c r="F31" s="171"/>
      <c r="G31" s="171"/>
      <c r="H31" s="171"/>
      <c r="I31" s="171"/>
      <c r="J31" s="171"/>
      <c r="K31" s="171"/>
      <c r="L31" s="79"/>
      <c r="M31" s="79"/>
      <c r="N31" s="79"/>
      <c r="O31" s="79"/>
      <c r="P31" s="79"/>
      <c r="Q31" s="79"/>
      <c r="R31" s="79"/>
      <c r="S31" s="79"/>
    </row>
    <row r="32" customFormat="false" ht="3.75" hidden="false" customHeight="true" outlineLevel="0" collapsed="false">
      <c r="A32" s="79"/>
      <c r="B32" s="159"/>
      <c r="C32" s="171"/>
      <c r="D32" s="171"/>
      <c r="E32" s="171"/>
      <c r="F32" s="171"/>
      <c r="G32" s="171"/>
      <c r="H32" s="171"/>
      <c r="I32" s="171"/>
      <c r="J32" s="171"/>
      <c r="K32" s="171"/>
      <c r="L32" s="32"/>
      <c r="M32" s="79"/>
      <c r="N32" s="79"/>
      <c r="O32" s="79"/>
      <c r="P32" s="79"/>
      <c r="Q32" s="79"/>
      <c r="R32" s="79"/>
      <c r="S32" s="79"/>
    </row>
    <row r="33" customFormat="false" ht="3.75" hidden="false" customHeight="true" outlineLevel="0" collapsed="false">
      <c r="A33" s="79"/>
      <c r="B33" s="159"/>
      <c r="C33" s="171"/>
      <c r="D33" s="171"/>
      <c r="E33" s="171"/>
      <c r="F33" s="171"/>
      <c r="G33" s="171"/>
      <c r="H33" s="171"/>
      <c r="I33" s="171"/>
      <c r="J33" s="171"/>
      <c r="K33" s="171"/>
      <c r="L33" s="133"/>
      <c r="M33" s="79"/>
      <c r="N33" s="79"/>
      <c r="O33" s="79"/>
      <c r="P33" s="79"/>
      <c r="Q33" s="79"/>
      <c r="R33" s="79"/>
      <c r="S33" s="79"/>
    </row>
    <row r="34" customFormat="false" ht="21.75" hidden="false" customHeight="true" outlineLevel="0" collapsed="false">
      <c r="B34" s="25" t="s">
        <v>388</v>
      </c>
      <c r="C34" s="172" t="s">
        <v>168</v>
      </c>
      <c r="D34" s="170" t="n">
        <f aca="false">IFERROR(D26*(D25-C25),0)</f>
        <v>0</v>
      </c>
      <c r="E34" s="170" t="n">
        <f aca="false">IFERROR(E26*(E25-D25),0)</f>
        <v>0</v>
      </c>
      <c r="F34" s="170" t="n">
        <f aca="false">IFERROR(F26*(F25-E25),0)</f>
        <v>0</v>
      </c>
      <c r="G34" s="170" t="n">
        <f aca="false">IFERROR(G26*(G25-F25),0)</f>
        <v>0</v>
      </c>
      <c r="H34" s="170" t="n">
        <f aca="false">IFERROR(H26*(H25-G25),0)</f>
        <v>0</v>
      </c>
      <c r="I34" s="170" t="n">
        <f aca="false">IFERROR(I26*(I25-H25),0)</f>
        <v>0</v>
      </c>
      <c r="J34" s="170" t="n">
        <f aca="false">IFERROR(J26*(J25-I25),0)</f>
        <v>0</v>
      </c>
      <c r="K34" s="170" t="n">
        <f aca="false">IFERROR(K26*(K25-J25),0)</f>
        <v>0</v>
      </c>
      <c r="L34" s="173" t="s">
        <v>389</v>
      </c>
    </row>
    <row r="35" customFormat="false" ht="3.75" hidden="false" customHeight="true" outlineLevel="0" collapsed="false">
      <c r="A35" s="79"/>
      <c r="B35" s="32"/>
      <c r="C35" s="174"/>
      <c r="D35" s="174"/>
      <c r="E35" s="174"/>
      <c r="F35" s="174"/>
      <c r="G35" s="174"/>
      <c r="H35" s="174"/>
      <c r="I35" s="174"/>
      <c r="J35" s="174"/>
      <c r="K35" s="174"/>
      <c r="L35" s="79"/>
      <c r="M35" s="79"/>
      <c r="N35" s="79"/>
      <c r="O35" s="79"/>
      <c r="P35" s="79"/>
      <c r="Q35" s="79"/>
      <c r="R35" s="79"/>
      <c r="S35" s="79"/>
    </row>
  </sheetData>
  <mergeCells count="4">
    <mergeCell ref="B1:O1"/>
    <mergeCell ref="B2:O2"/>
    <mergeCell ref="B3:N3"/>
    <mergeCell ref="B23:K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7" activeCellId="0" sqref="D17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"/>
    <col collapsed="false" customWidth="true" hidden="false" outlineLevel="0" max="14" min="3" style="1" width="18"/>
  </cols>
  <sheetData>
    <row r="1" customFormat="false" ht="27.75" hidden="false" customHeight="true" outlineLevel="0" collapsed="false">
      <c r="B1" s="155" t="s">
        <v>390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customFormat="false" ht="18" hidden="false" customHeight="true" outlineLevel="0" collapsed="false">
      <c r="C2" s="175"/>
      <c r="D2" s="175"/>
      <c r="E2" s="175"/>
      <c r="F2" s="175"/>
      <c r="G2" s="175"/>
      <c r="H2" s="175"/>
      <c r="I2" s="175"/>
      <c r="J2" s="175"/>
      <c r="K2" s="175"/>
    </row>
    <row r="3" customFormat="false" ht="21.75" hidden="false" customHeight="true" outlineLevel="0" collapsed="false">
      <c r="B3" s="13" t="s">
        <v>391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 customFormat="false" ht="19.5" hidden="false" customHeight="true" outlineLevel="0" collapsed="false">
      <c r="B4" s="159" t="s">
        <v>367</v>
      </c>
      <c r="C4" s="176"/>
      <c r="D4" s="177" t="s">
        <v>277</v>
      </c>
      <c r="E4" s="177" t="s">
        <v>278</v>
      </c>
      <c r="F4" s="178" t="s">
        <v>279</v>
      </c>
      <c r="G4" s="178" t="s">
        <v>280</v>
      </c>
      <c r="H4" s="178" t="s">
        <v>281</v>
      </c>
      <c r="I4" s="178" t="s">
        <v>282</v>
      </c>
      <c r="J4" s="178" t="s">
        <v>283</v>
      </c>
      <c r="K4" s="178" t="s">
        <v>284</v>
      </c>
    </row>
    <row r="5" customFormat="false" ht="18" hidden="false" customHeight="true" outlineLevel="0" collapsed="false">
      <c r="B5" s="159" t="s">
        <v>164</v>
      </c>
      <c r="C5" s="176"/>
      <c r="D5" s="171" t="n">
        <f aca="false">IFERROR('📈 Projections'!D10,0)</f>
        <v>0</v>
      </c>
      <c r="E5" s="171" t="n">
        <f aca="false">IFERROR('📈 Projections'!E10,0)</f>
        <v>0</v>
      </c>
      <c r="F5" s="171" t="n">
        <f aca="false">IFERROR('📈 Projections'!F10,0)</f>
        <v>0</v>
      </c>
      <c r="G5" s="171" t="n">
        <f aca="false">IFERROR('📈 Projections'!G10,0)</f>
        <v>0</v>
      </c>
      <c r="H5" s="171" t="n">
        <f aca="false">IFERROR('📈 Projections'!H10,0)</f>
        <v>0</v>
      </c>
      <c r="I5" s="171" t="n">
        <f aca="false">IFERROR('📈 Projections'!I10,0)</f>
        <v>0</v>
      </c>
      <c r="J5" s="171" t="n">
        <f aca="false">IFERROR('📈 Projections'!J10,0)</f>
        <v>0</v>
      </c>
      <c r="K5" s="171" t="n">
        <f aca="false">IFERROR('📈 Projections'!K10,0)</f>
        <v>0</v>
      </c>
    </row>
    <row r="6" customFormat="false" ht="18" hidden="false" customHeight="true" outlineLevel="0" collapsed="false">
      <c r="B6" s="159" t="s">
        <v>392</v>
      </c>
      <c r="C6" s="176"/>
      <c r="D6" s="171" t="n">
        <f aca="false">IFERROR(D5*'🔑 Assumptions'!$C$15,0)</f>
        <v>0</v>
      </c>
      <c r="E6" s="171" t="n">
        <f aca="false">IFERROR(E5*'🔑 Assumptions'!$C$15,0)</f>
        <v>0</v>
      </c>
      <c r="F6" s="171" t="n">
        <f aca="false">IFERROR(F5*'🔑 Assumptions'!$C$15,0)</f>
        <v>0</v>
      </c>
      <c r="G6" s="171" t="n">
        <f aca="false">IFERROR(G5*'🔑 Assumptions'!$C$15,0)</f>
        <v>0</v>
      </c>
      <c r="H6" s="171" t="n">
        <f aca="false">IFERROR(H5*'🔑 Assumptions'!$C$15,0)</f>
        <v>0</v>
      </c>
      <c r="I6" s="171" t="n">
        <f aca="false">IFERROR(I5*'🔑 Assumptions'!$C$15,0)</f>
        <v>0</v>
      </c>
      <c r="J6" s="171" t="n">
        <f aca="false">IFERROR(J5*'🔑 Assumptions'!$C$15,0)</f>
        <v>0</v>
      </c>
      <c r="K6" s="171" t="n">
        <f aca="false">IFERROR(K5*'🔑 Assumptions'!$C$15,0)</f>
        <v>0</v>
      </c>
    </row>
    <row r="7" customFormat="false" ht="18" hidden="false" customHeight="true" outlineLevel="0" collapsed="false">
      <c r="B7" s="159" t="s">
        <v>393</v>
      </c>
      <c r="C7" s="176"/>
      <c r="D7" s="171" t="n">
        <f aca="false">IFERROR(D5-D6,0)</f>
        <v>0</v>
      </c>
      <c r="E7" s="171" t="n">
        <f aca="false">IFERROR(E5-E6,0)</f>
        <v>0</v>
      </c>
      <c r="F7" s="171" t="n">
        <f aca="false">IFERROR(F5-F6,0)</f>
        <v>0</v>
      </c>
      <c r="G7" s="171" t="n">
        <f aca="false">IFERROR(G5-G6,0)</f>
        <v>0</v>
      </c>
      <c r="H7" s="171" t="n">
        <f aca="false">IFERROR(H5-H6,0)</f>
        <v>0</v>
      </c>
      <c r="I7" s="171" t="n">
        <f aca="false">IFERROR(I5-I6,0)</f>
        <v>0</v>
      </c>
      <c r="J7" s="171" t="n">
        <f aca="false">IFERROR(J5-J6,0)</f>
        <v>0</v>
      </c>
      <c r="K7" s="171" t="n">
        <f aca="false">IFERROR(K5-K6,0)</f>
        <v>0</v>
      </c>
    </row>
    <row r="8" customFormat="false" ht="18" hidden="false" customHeight="true" outlineLevel="0" collapsed="false">
      <c r="B8" s="159" t="s">
        <v>394</v>
      </c>
      <c r="C8" s="176"/>
      <c r="D8" s="171" t="n">
        <f aca="false">IFERROR('📈 Projections'!D9,0)</f>
        <v>0</v>
      </c>
      <c r="E8" s="171" t="n">
        <f aca="false">IFERROR('📈 Projections'!E9,0)</f>
        <v>0</v>
      </c>
      <c r="F8" s="171" t="n">
        <f aca="false">IFERROR('📈 Projections'!F9,0)</f>
        <v>0</v>
      </c>
      <c r="G8" s="171" t="n">
        <f aca="false">IFERROR('📈 Projections'!G9,0)</f>
        <v>0</v>
      </c>
      <c r="H8" s="171" t="n">
        <f aca="false">IFERROR('📈 Projections'!H9,0)</f>
        <v>0</v>
      </c>
      <c r="I8" s="171" t="n">
        <f aca="false">IFERROR('📈 Projections'!I9,0)</f>
        <v>0</v>
      </c>
      <c r="J8" s="171" t="n">
        <f aca="false">IFERROR('📈 Projections'!J9,0)</f>
        <v>0</v>
      </c>
      <c r="K8" s="171" t="n">
        <f aca="false">IFERROR('📈 Projections'!K9,0)</f>
        <v>0</v>
      </c>
    </row>
    <row r="9" customFormat="false" ht="18" hidden="false" customHeight="true" outlineLevel="0" collapsed="false">
      <c r="B9" s="159" t="s">
        <v>395</v>
      </c>
      <c r="C9" s="176"/>
      <c r="D9" s="171" t="n">
        <f aca="false">'🔑 Assumptions'!D30</f>
        <v>0</v>
      </c>
      <c r="E9" s="171" t="n">
        <f aca="false">'🔑 Assumptions'!E30</f>
        <v>0</v>
      </c>
      <c r="F9" s="171" t="n">
        <f aca="false">'🔑 Assumptions'!F30</f>
        <v>0</v>
      </c>
      <c r="G9" s="171" t="n">
        <f aca="false">'🔑 Assumptions'!G30</f>
        <v>0</v>
      </c>
      <c r="H9" s="171" t="n">
        <f aca="false">'🔑 Assumptions'!H30</f>
        <v>0</v>
      </c>
      <c r="I9" s="171" t="n">
        <f aca="false">'🔑 Assumptions'!I30</f>
        <v>0</v>
      </c>
      <c r="J9" s="171" t="n">
        <f aca="false">'🔑 Assumptions'!J30</f>
        <v>0</v>
      </c>
      <c r="K9" s="171" t="n">
        <f aca="false">'🔑 Assumptions'!K30</f>
        <v>0</v>
      </c>
    </row>
    <row r="10" customFormat="false" ht="18" hidden="false" customHeight="true" outlineLevel="0" collapsed="false">
      <c r="B10" s="159" t="s">
        <v>396</v>
      </c>
      <c r="C10" s="176"/>
      <c r="D10" s="171" t="n">
        <f aca="false">IFERROR('📈 Projections'!D34,0)</f>
        <v>0</v>
      </c>
      <c r="E10" s="171" t="n">
        <f aca="false">IFERROR('📈 Projections'!E34,0)</f>
        <v>0</v>
      </c>
      <c r="F10" s="171" t="n">
        <f aca="false">IFERROR('📈 Projections'!F34,0)</f>
        <v>0</v>
      </c>
      <c r="G10" s="171" t="n">
        <f aca="false">IFERROR('📈 Projections'!G34,0)</f>
        <v>0</v>
      </c>
      <c r="H10" s="171" t="n">
        <f aca="false">IFERROR('📈 Projections'!H34,0)</f>
        <v>0</v>
      </c>
      <c r="I10" s="171" t="n">
        <f aca="false">IFERROR('📈 Projections'!I34,0)</f>
        <v>0</v>
      </c>
      <c r="J10" s="171" t="n">
        <f aca="false">IFERROR('📈 Projections'!J34,0)</f>
        <v>0</v>
      </c>
      <c r="K10" s="171" t="n">
        <f aca="false">IFERROR('📈 Projections'!K34,0)</f>
        <v>0</v>
      </c>
    </row>
    <row r="11" customFormat="false" ht="21.75" hidden="false" customHeight="true" outlineLevel="0" collapsed="false">
      <c r="B11" s="179" t="s">
        <v>397</v>
      </c>
      <c r="C11" s="176"/>
      <c r="D11" s="171" t="n">
        <f aca="false">IFERROR(D7+D8-D9-D10,0)</f>
        <v>0</v>
      </c>
      <c r="E11" s="171" t="n">
        <f aca="false">IFERROR(E7+E8-E9-E10,0)</f>
        <v>0</v>
      </c>
      <c r="F11" s="171" t="n">
        <f aca="false">IFERROR(F7+F8-F9-F10,0)</f>
        <v>0</v>
      </c>
      <c r="G11" s="171" t="n">
        <f aca="false">IFERROR(G7+G8-G9-G10,0)</f>
        <v>0</v>
      </c>
      <c r="H11" s="171" t="n">
        <f aca="false">IFERROR(H7+H8-H9-H10,0)</f>
        <v>0</v>
      </c>
      <c r="I11" s="171" t="n">
        <f aca="false">IFERROR(I7+I8-I9-I10,0)</f>
        <v>0</v>
      </c>
      <c r="J11" s="171" t="n">
        <f aca="false">IFERROR(J7+J8-J9-J10,0)</f>
        <v>0</v>
      </c>
      <c r="K11" s="171" t="n">
        <f aca="false">IFERROR(K7+K8-K9-K10,0)</f>
        <v>0</v>
      </c>
    </row>
    <row r="12" customFormat="false" ht="18" hidden="false" customHeight="true" outlineLevel="0" collapsed="false">
      <c r="B12" s="159" t="s">
        <v>398</v>
      </c>
      <c r="C12" s="176"/>
      <c r="D12" s="180" t="s">
        <v>168</v>
      </c>
      <c r="E12" s="181" t="n">
        <f aca="false">IFERROR((E11-D11)/D11,0)</f>
        <v>0</v>
      </c>
      <c r="F12" s="181" t="n">
        <f aca="false">IFERROR((F11-E11)/E11,0)</f>
        <v>0</v>
      </c>
      <c r="G12" s="181" t="n">
        <f aca="false">IFERROR((G11-F11)/F11,0)</f>
        <v>0</v>
      </c>
      <c r="H12" s="181" t="n">
        <f aca="false">IFERROR((H11-G11)/G11,0)</f>
        <v>0</v>
      </c>
      <c r="I12" s="181" t="n">
        <f aca="false">IFERROR((I11-H11)/H11,0)</f>
        <v>0</v>
      </c>
      <c r="J12" s="181" t="n">
        <f aca="false">IFERROR((J11-I11)/I11,0)</f>
        <v>0</v>
      </c>
      <c r="K12" s="181" t="n">
        <f aca="false">IFERROR((K11-J11)/J11,0)</f>
        <v>0</v>
      </c>
    </row>
    <row r="13" customFormat="false" ht="18" hidden="false" customHeight="true" outlineLevel="0" collapsed="false">
      <c r="C13" s="175"/>
      <c r="D13" s="175"/>
      <c r="E13" s="175"/>
      <c r="F13" s="175"/>
      <c r="G13" s="175"/>
      <c r="H13" s="175"/>
      <c r="I13" s="175"/>
      <c r="J13" s="175"/>
      <c r="K13" s="175"/>
    </row>
    <row r="14" customFormat="false" ht="21.75" hidden="false" customHeight="true" outlineLevel="0" collapsed="false">
      <c r="B14" s="13" t="s">
        <v>399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customFormat="false" ht="19.5" hidden="false" customHeight="true" outlineLevel="0" collapsed="false">
      <c r="B15" s="159" t="s">
        <v>367</v>
      </c>
      <c r="C15" s="176"/>
      <c r="D15" s="177" t="s">
        <v>277</v>
      </c>
      <c r="E15" s="177" t="s">
        <v>278</v>
      </c>
      <c r="F15" s="178" t="s">
        <v>279</v>
      </c>
      <c r="G15" s="178" t="s">
        <v>280</v>
      </c>
      <c r="H15" s="178" t="s">
        <v>281</v>
      </c>
      <c r="I15" s="178" t="s">
        <v>282</v>
      </c>
      <c r="J15" s="178" t="s">
        <v>283</v>
      </c>
      <c r="K15" s="178" t="s">
        <v>284</v>
      </c>
    </row>
    <row r="16" customFormat="false" ht="18" hidden="false" customHeight="true" outlineLevel="0" collapsed="false">
      <c r="B16" s="159" t="s">
        <v>400</v>
      </c>
      <c r="C16" s="176"/>
      <c r="D16" s="182" t="n">
        <v>1</v>
      </c>
      <c r="E16" s="182" t="n">
        <v>2</v>
      </c>
      <c r="F16" s="182" t="n">
        <v>3</v>
      </c>
      <c r="G16" s="182" t="n">
        <v>4</v>
      </c>
      <c r="H16" s="182" t="n">
        <v>5</v>
      </c>
      <c r="I16" s="182" t="n">
        <v>6</v>
      </c>
      <c r="J16" s="182" t="n">
        <v>7</v>
      </c>
      <c r="K16" s="182" t="n">
        <v>8</v>
      </c>
    </row>
    <row r="17" customFormat="false" ht="18" hidden="false" customHeight="true" outlineLevel="0" collapsed="false">
      <c r="B17" s="159" t="s">
        <v>401</v>
      </c>
      <c r="C17" s="176"/>
      <c r="D17" s="181" t="n">
        <f aca="false">'🔑 Assumptions'!$C$75</f>
        <v>0.034</v>
      </c>
      <c r="E17" s="181" t="n">
        <f aca="false">'🔑 Assumptions'!$C$75</f>
        <v>0.034</v>
      </c>
      <c r="F17" s="181" t="n">
        <f aca="false">'🔑 Assumptions'!$C$75</f>
        <v>0.034</v>
      </c>
      <c r="G17" s="181" t="n">
        <f aca="false">'🔑 Assumptions'!$C$75</f>
        <v>0.034</v>
      </c>
      <c r="H17" s="181" t="n">
        <f aca="false">'🔑 Assumptions'!$C$75</f>
        <v>0.034</v>
      </c>
      <c r="I17" s="181" t="n">
        <f aca="false">'🔑 Assumptions'!$C$75</f>
        <v>0.034</v>
      </c>
      <c r="J17" s="181" t="n">
        <f aca="false">'🔑 Assumptions'!$C$75</f>
        <v>0.034</v>
      </c>
      <c r="K17" s="181" t="n">
        <f aca="false">'🔑 Assumptions'!$C$75</f>
        <v>0.034</v>
      </c>
    </row>
    <row r="18" customFormat="false" ht="18" hidden="false" customHeight="true" outlineLevel="0" collapsed="false">
      <c r="B18" s="159" t="s">
        <v>402</v>
      </c>
      <c r="C18" s="176"/>
      <c r="D18" s="183" t="n">
        <f aca="false">IFERROR(1/(1+D17)^D16,0)</f>
        <v>0.967117988394584</v>
      </c>
      <c r="E18" s="183" t="n">
        <f aca="false">IFERROR(1/(1+E17)^E16,0)</f>
        <v>0.935317203476387</v>
      </c>
      <c r="F18" s="183" t="n">
        <f aca="false">IFERROR(1/(1+F17)^F16,0)</f>
        <v>0.904562092336931</v>
      </c>
      <c r="G18" s="183" t="n">
        <f aca="false">IFERROR(1/(1+G17)^G16,0)</f>
        <v>0.874818271118889</v>
      </c>
      <c r="H18" s="183" t="n">
        <f aca="false">IFERROR(1/(1+H17)^H16,0)</f>
        <v>0.846052486575328</v>
      </c>
      <c r="I18" s="183" t="n">
        <f aca="false">IFERROR(1/(1+I17)^I16,0)</f>
        <v>0.818232578892967</v>
      </c>
      <c r="J18" s="183" t="n">
        <f aca="false">IFERROR(1/(1+J17)^J16,0)</f>
        <v>0.791327445737879</v>
      </c>
      <c r="K18" s="183" t="n">
        <f aca="false">IFERROR(1/(1+K17)^K16,0)</f>
        <v>0.765307007483442</v>
      </c>
    </row>
    <row r="19" customFormat="false" ht="19.5" hidden="false" customHeight="true" outlineLevel="0" collapsed="false">
      <c r="B19" s="159" t="s">
        <v>403</v>
      </c>
      <c r="C19" s="176"/>
      <c r="D19" s="171" t="n">
        <f aca="false">IFERROR(D11*D18,0)</f>
        <v>0</v>
      </c>
      <c r="E19" s="171" t="n">
        <f aca="false">IFERROR(E11*E18,0)</f>
        <v>0</v>
      </c>
      <c r="F19" s="171" t="n">
        <f aca="false">IFERROR(F11*F18,0)</f>
        <v>0</v>
      </c>
      <c r="G19" s="171" t="n">
        <f aca="false">IFERROR(G11*G18,0)</f>
        <v>0</v>
      </c>
      <c r="H19" s="171" t="n">
        <f aca="false">IFERROR(H11*H18,0)</f>
        <v>0</v>
      </c>
      <c r="I19" s="171" t="n">
        <f aca="false">IFERROR(I11*I18,0)</f>
        <v>0</v>
      </c>
      <c r="J19" s="171" t="n">
        <f aca="false">IFERROR(J11*J18,0)</f>
        <v>0</v>
      </c>
      <c r="K19" s="171" t="n">
        <f aca="false">IFERROR(K11*K18,0)</f>
        <v>0</v>
      </c>
    </row>
    <row r="20" customFormat="false" ht="18" hidden="false" customHeight="true" outlineLevel="0" collapsed="false">
      <c r="C20" s="175"/>
      <c r="D20" s="175"/>
      <c r="E20" s="175"/>
      <c r="F20" s="175"/>
      <c r="G20" s="175"/>
      <c r="H20" s="175"/>
      <c r="I20" s="175"/>
      <c r="J20" s="175"/>
      <c r="K20" s="175"/>
    </row>
    <row r="21" customFormat="false" ht="21.75" hidden="false" customHeight="true" outlineLevel="0" collapsed="false">
      <c r="B21" s="13" t="s">
        <v>404</v>
      </c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</row>
    <row r="22" customFormat="false" ht="18" hidden="false" customHeight="true" outlineLevel="0" collapsed="false">
      <c r="B22" s="159" t="s">
        <v>405</v>
      </c>
      <c r="C22" s="171" t="n">
        <f aca="false">IFERROR(K11,0)</f>
        <v>0</v>
      </c>
      <c r="D22" s="184"/>
      <c r="E22" s="184"/>
      <c r="F22" s="184"/>
      <c r="G22" s="184"/>
      <c r="H22" s="184"/>
      <c r="I22" s="184"/>
      <c r="J22" s="184"/>
      <c r="K22" s="184"/>
      <c r="L22" s="185"/>
      <c r="M22" s="185"/>
    </row>
    <row r="23" customFormat="false" ht="18" hidden="false" customHeight="true" outlineLevel="0" collapsed="false">
      <c r="B23" s="159" t="s">
        <v>406</v>
      </c>
      <c r="C23" s="181" t="n">
        <f aca="false">'🔑 Assumptions'!$C$14</f>
        <v>0</v>
      </c>
      <c r="D23" s="184"/>
      <c r="E23" s="184"/>
      <c r="F23" s="184"/>
      <c r="G23" s="184"/>
      <c r="H23" s="184"/>
      <c r="I23" s="184"/>
      <c r="J23" s="184"/>
      <c r="K23" s="184"/>
      <c r="L23" s="185"/>
      <c r="M23" s="185"/>
    </row>
    <row r="24" customFormat="false" ht="18" hidden="false" customHeight="true" outlineLevel="0" collapsed="false">
      <c r="B24" s="159" t="s">
        <v>407</v>
      </c>
      <c r="C24" s="186" t="n">
        <f aca="false">'🔑 Assumptions'!C76</f>
        <v>0.03332</v>
      </c>
      <c r="D24" s="184"/>
      <c r="E24" s="184"/>
      <c r="F24" s="184"/>
      <c r="G24" s="184"/>
      <c r="H24" s="184"/>
      <c r="I24" s="184"/>
      <c r="J24" s="184"/>
      <c r="K24" s="184"/>
      <c r="L24" s="185"/>
      <c r="M24" s="185"/>
    </row>
    <row r="25" customFormat="false" ht="21.75" hidden="false" customHeight="true" outlineLevel="0" collapsed="false">
      <c r="B25" s="159" t="s">
        <v>408</v>
      </c>
      <c r="C25" s="171" t="n">
        <f aca="false">IFERROR(C22*(1+C23),0)</f>
        <v>0</v>
      </c>
      <c r="D25" s="184"/>
      <c r="E25" s="184"/>
      <c r="F25" s="184"/>
      <c r="G25" s="184"/>
      <c r="H25" s="184"/>
      <c r="I25" s="184"/>
      <c r="J25" s="184"/>
      <c r="K25" s="184"/>
      <c r="L25" s="185"/>
      <c r="M25" s="185"/>
    </row>
    <row r="26" customFormat="false" ht="21.75" hidden="false" customHeight="true" outlineLevel="0" collapsed="false">
      <c r="B26" s="179" t="s">
        <v>409</v>
      </c>
      <c r="C26" s="187" t="n">
        <f aca="false">IFERROR(C25/(C24-C23),0)</f>
        <v>0</v>
      </c>
      <c r="D26" s="184"/>
      <c r="E26" s="184"/>
      <c r="F26" s="184"/>
      <c r="G26" s="184"/>
      <c r="H26" s="184"/>
      <c r="I26" s="184"/>
      <c r="J26" s="184"/>
      <c r="K26" s="184"/>
      <c r="L26" s="185"/>
      <c r="M26" s="185"/>
    </row>
    <row r="27" customFormat="false" ht="18" hidden="false" customHeight="true" outlineLevel="0" collapsed="false">
      <c r="B27" s="159" t="s">
        <v>410</v>
      </c>
      <c r="C27" s="188" t="n">
        <f aca="false">IFERROR(K18,0)</f>
        <v>0.765307007483442</v>
      </c>
      <c r="D27" s="184"/>
      <c r="E27" s="184"/>
      <c r="F27" s="184"/>
      <c r="G27" s="184"/>
      <c r="H27" s="184"/>
      <c r="I27" s="184"/>
      <c r="J27" s="184"/>
      <c r="K27" s="184"/>
      <c r="L27" s="185"/>
      <c r="M27" s="185"/>
    </row>
    <row r="28" customFormat="false" ht="21.75" hidden="false" customHeight="true" outlineLevel="0" collapsed="false">
      <c r="B28" s="159" t="s">
        <v>411</v>
      </c>
      <c r="C28" s="171" t="n">
        <f aca="false">IFERROR(C26*C27,0)</f>
        <v>0</v>
      </c>
      <c r="D28" s="184"/>
      <c r="E28" s="184"/>
      <c r="F28" s="184"/>
      <c r="G28" s="184"/>
      <c r="H28" s="184"/>
      <c r="I28" s="184"/>
      <c r="J28" s="184"/>
      <c r="K28" s="184"/>
      <c r="L28" s="185"/>
      <c r="M28" s="185"/>
    </row>
    <row r="29" customFormat="false" ht="18" hidden="false" customHeight="true" outlineLevel="0" collapsed="false">
      <c r="C29" s="175"/>
      <c r="D29" s="175"/>
      <c r="E29" s="175"/>
      <c r="F29" s="175"/>
      <c r="G29" s="175"/>
      <c r="H29" s="175"/>
      <c r="I29" s="175"/>
      <c r="J29" s="175"/>
      <c r="K29" s="175"/>
    </row>
    <row r="30" customFormat="false" ht="34.5" hidden="false" customHeight="true" outlineLevel="0" collapsed="false">
      <c r="B30" s="189" t="s">
        <v>412</v>
      </c>
      <c r="C30" s="189"/>
      <c r="D30" s="189"/>
      <c r="E30" s="189"/>
      <c r="F30" s="189"/>
      <c r="G30" s="189"/>
      <c r="H30" s="189"/>
      <c r="I30" s="189"/>
      <c r="J30" s="189"/>
      <c r="K30" s="189"/>
      <c r="L30" s="189"/>
      <c r="M30" s="189"/>
    </row>
    <row r="31" customFormat="false" ht="21.75" hidden="false" customHeight="true" outlineLevel="0" collapsed="false">
      <c r="C31" s="175"/>
      <c r="D31" s="175"/>
      <c r="E31" s="175"/>
      <c r="F31" s="175"/>
      <c r="G31" s="175"/>
      <c r="H31" s="175"/>
      <c r="I31" s="175"/>
      <c r="J31" s="175"/>
      <c r="K31" s="175"/>
    </row>
    <row r="32" customFormat="false" ht="18" hidden="false" customHeight="true" outlineLevel="0" collapsed="false">
      <c r="B32" s="58" t="s">
        <v>413</v>
      </c>
      <c r="C32" s="190"/>
      <c r="D32" s="191"/>
      <c r="E32" s="191"/>
      <c r="F32" s="191"/>
      <c r="G32" s="191"/>
      <c r="H32" s="191"/>
      <c r="I32" s="191"/>
      <c r="J32" s="191"/>
      <c r="K32" s="191"/>
      <c r="L32" s="192"/>
      <c r="M32" s="192"/>
    </row>
    <row r="33" customFormat="false" ht="18" hidden="false" customHeight="true" outlineLevel="0" collapsed="false">
      <c r="B33" s="159" t="s">
        <v>414</v>
      </c>
      <c r="C33" s="171" t="n">
        <f aca="false">IFERROR(D19+E19+F19+G19+H19+I19+J19+K19,0)</f>
        <v>0</v>
      </c>
      <c r="D33" s="184"/>
      <c r="E33" s="184"/>
      <c r="F33" s="184"/>
      <c r="G33" s="184"/>
      <c r="H33" s="184"/>
      <c r="I33" s="184"/>
      <c r="J33" s="184"/>
      <c r="K33" s="184"/>
      <c r="L33" s="185"/>
      <c r="M33" s="185"/>
    </row>
    <row r="34" customFormat="false" ht="18" hidden="false" customHeight="true" outlineLevel="0" collapsed="false">
      <c r="B34" s="159" t="s">
        <v>411</v>
      </c>
      <c r="C34" s="171" t="n">
        <f aca="false">C28</f>
        <v>0</v>
      </c>
      <c r="D34" s="184"/>
      <c r="E34" s="184"/>
      <c r="F34" s="184"/>
      <c r="G34" s="184"/>
      <c r="H34" s="184"/>
      <c r="I34" s="184"/>
      <c r="J34" s="184"/>
      <c r="K34" s="184"/>
      <c r="L34" s="185"/>
      <c r="M34" s="185"/>
    </row>
    <row r="35" customFormat="false" ht="18" hidden="false" customHeight="true" outlineLevel="0" collapsed="false">
      <c r="B35" s="193" t="s">
        <v>415</v>
      </c>
      <c r="C35" s="194" t="n">
        <f aca="false">C33+C34</f>
        <v>0</v>
      </c>
      <c r="D35" s="184"/>
      <c r="E35" s="184"/>
      <c r="F35" s="184"/>
      <c r="G35" s="184"/>
      <c r="H35" s="184"/>
      <c r="I35" s="184"/>
      <c r="J35" s="184"/>
      <c r="K35" s="184"/>
      <c r="L35" s="185"/>
      <c r="M35" s="185"/>
    </row>
    <row r="36" customFormat="false" ht="18" hidden="false" customHeight="true" outlineLevel="0" collapsed="false">
      <c r="B36" s="195" t="s">
        <v>416</v>
      </c>
      <c r="C36" s="196" t="n">
        <f aca="false">'🔑 Assumptions'!C89-'🔑 Assumptions'!C88</f>
        <v>0</v>
      </c>
      <c r="D36" s="175"/>
      <c r="E36" s="175"/>
      <c r="F36" s="175"/>
      <c r="G36" s="175"/>
      <c r="H36" s="175"/>
      <c r="I36" s="175"/>
      <c r="J36" s="175"/>
      <c r="K36" s="175"/>
    </row>
    <row r="37" customFormat="false" ht="18" hidden="false" customHeight="true" outlineLevel="0" collapsed="false">
      <c r="C37" s="175"/>
      <c r="D37" s="184"/>
      <c r="E37" s="184"/>
      <c r="F37" s="184"/>
      <c r="G37" s="184"/>
      <c r="H37" s="184"/>
      <c r="I37" s="184"/>
      <c r="J37" s="184"/>
      <c r="K37" s="184"/>
      <c r="L37" s="185"/>
      <c r="M37" s="185"/>
    </row>
    <row r="38" customFormat="false" ht="18" hidden="false" customHeight="true" outlineLevel="0" collapsed="false">
      <c r="B38" s="159" t="s">
        <v>417</v>
      </c>
      <c r="C38" s="171" t="n">
        <f aca="false">'🔑 Assumptions'!$C$70</f>
        <v>0</v>
      </c>
      <c r="D38" s="184"/>
      <c r="E38" s="184"/>
      <c r="F38" s="184"/>
      <c r="G38" s="184"/>
      <c r="H38" s="184"/>
      <c r="I38" s="184"/>
      <c r="J38" s="184"/>
      <c r="K38" s="184"/>
      <c r="L38" s="185"/>
      <c r="M38" s="185"/>
    </row>
    <row r="39" customFormat="false" ht="18" hidden="false" customHeight="true" outlineLevel="0" collapsed="false">
      <c r="B39" s="159" t="s">
        <v>418</v>
      </c>
      <c r="C39" s="171" t="n">
        <f aca="false">'🔑 Assumptions'!C91</f>
        <v>0</v>
      </c>
      <c r="D39" s="184"/>
      <c r="E39" s="184"/>
      <c r="F39" s="184"/>
      <c r="G39" s="184"/>
      <c r="H39" s="184"/>
      <c r="I39" s="184"/>
      <c r="J39" s="184"/>
      <c r="K39" s="184"/>
      <c r="L39" s="185"/>
      <c r="M39" s="185"/>
    </row>
    <row r="40" customFormat="false" ht="18" hidden="false" customHeight="true" outlineLevel="0" collapsed="false">
      <c r="B40" s="159" t="s">
        <v>419</v>
      </c>
      <c r="C40" s="171" t="n">
        <f aca="false">'🔑 Assumptions'!C89</f>
        <v>0</v>
      </c>
      <c r="D40" s="184"/>
      <c r="E40" s="184"/>
      <c r="F40" s="184"/>
      <c r="G40" s="184"/>
      <c r="H40" s="184"/>
      <c r="I40" s="184"/>
      <c r="J40" s="184"/>
      <c r="K40" s="184"/>
      <c r="L40" s="185"/>
      <c r="M40" s="185"/>
    </row>
    <row r="41" customFormat="false" ht="18" hidden="false" customHeight="true" outlineLevel="0" collapsed="false">
      <c r="B41" s="159" t="s">
        <v>420</v>
      </c>
      <c r="C41" s="171" t="n">
        <f aca="false">'🔑 Assumptions'!$C$90</f>
        <v>0</v>
      </c>
      <c r="D41" s="184"/>
      <c r="E41" s="184"/>
      <c r="F41" s="184"/>
      <c r="G41" s="184"/>
      <c r="H41" s="184"/>
      <c r="I41" s="184"/>
      <c r="J41" s="184"/>
      <c r="K41" s="184"/>
      <c r="L41" s="185"/>
      <c r="M41" s="185"/>
    </row>
    <row r="42" customFormat="false" ht="18" hidden="false" customHeight="true" outlineLevel="0" collapsed="false">
      <c r="B42" s="179" t="s">
        <v>421</v>
      </c>
      <c r="C42" s="187" t="n">
        <f aca="false">C35-C38-C39+C40+C41</f>
        <v>0</v>
      </c>
      <c r="D42" s="184"/>
      <c r="E42" s="184"/>
      <c r="F42" s="184"/>
      <c r="G42" s="184"/>
      <c r="H42" s="184"/>
      <c r="I42" s="184"/>
      <c r="J42" s="184"/>
      <c r="K42" s="184"/>
      <c r="L42" s="185"/>
      <c r="M42" s="185"/>
    </row>
    <row r="43" customFormat="false" ht="18" hidden="false" customHeight="true" outlineLevel="0" collapsed="false">
      <c r="C43" s="175"/>
      <c r="D43" s="184"/>
      <c r="E43" s="184"/>
      <c r="F43" s="184"/>
      <c r="G43" s="184"/>
      <c r="H43" s="184"/>
      <c r="I43" s="184"/>
      <c r="J43" s="184"/>
      <c r="K43" s="184"/>
      <c r="L43" s="185"/>
      <c r="M43" s="185"/>
    </row>
    <row r="44" customFormat="false" ht="18" hidden="false" customHeight="true" outlineLevel="0" collapsed="false">
      <c r="B44" s="159" t="s">
        <v>422</v>
      </c>
      <c r="C44" s="171" t="n">
        <f aca="false">'📊 Hist Data'!G69</f>
        <v>0</v>
      </c>
      <c r="D44" s="184"/>
      <c r="E44" s="184"/>
      <c r="F44" s="184"/>
      <c r="G44" s="184"/>
      <c r="H44" s="184"/>
      <c r="I44" s="184"/>
      <c r="J44" s="184"/>
      <c r="K44" s="184"/>
      <c r="L44" s="185"/>
      <c r="M44" s="185"/>
    </row>
    <row r="45" customFormat="false" ht="27.75" hidden="false" customHeight="true" outlineLevel="0" collapsed="false">
      <c r="B45" s="197" t="s">
        <v>423</v>
      </c>
      <c r="C45" s="198" t="e">
        <f aca="false">C42/C44</f>
        <v>#DIV/0!</v>
      </c>
      <c r="D45" s="184"/>
      <c r="E45" s="184"/>
      <c r="F45" s="184"/>
      <c r="G45" s="184"/>
      <c r="H45" s="184"/>
      <c r="I45" s="184"/>
      <c r="J45" s="184"/>
      <c r="K45" s="184"/>
      <c r="L45" s="185"/>
      <c r="M45" s="185"/>
    </row>
    <row r="46" customFormat="false" ht="18" hidden="false" customHeight="true" outlineLevel="0" collapsed="false">
      <c r="B46" s="159" t="s">
        <v>424</v>
      </c>
      <c r="C46" s="199" t="n">
        <f aca="false">'🔑 Assumptions'!C93</f>
        <v>0</v>
      </c>
      <c r="D46" s="184"/>
      <c r="E46" s="184"/>
      <c r="F46" s="184"/>
      <c r="G46" s="184"/>
      <c r="H46" s="184"/>
      <c r="I46" s="184"/>
      <c r="J46" s="184"/>
      <c r="K46" s="184"/>
      <c r="L46" s="185"/>
      <c r="M46" s="185"/>
    </row>
    <row r="47" customFormat="false" ht="18" hidden="false" customHeight="true" outlineLevel="0" collapsed="false">
      <c r="B47" s="159" t="s">
        <v>425</v>
      </c>
      <c r="C47" s="200" t="e">
        <f aca="false">(C45/C46-1)</f>
        <v>#DIV/0!</v>
      </c>
      <c r="D47" s="184"/>
      <c r="E47" s="184"/>
      <c r="F47" s="184"/>
      <c r="G47" s="184"/>
      <c r="H47" s="184"/>
      <c r="I47" s="184"/>
      <c r="J47" s="184"/>
      <c r="K47" s="184"/>
      <c r="L47" s="185"/>
      <c r="M47" s="185"/>
    </row>
    <row r="48" customFormat="false" ht="27.75" hidden="false" customHeight="true" outlineLevel="0" collapsed="false">
      <c r="B48" s="201" t="s">
        <v>426</v>
      </c>
      <c r="C48" s="202" t="e">
        <f aca="false">IF(C47&gt;0.1,"🟢 UNDERVALUED",IF(C47&lt;-0.1,"🔴 OVERVALUED","🟡 FAIRLY VALUED"))</f>
        <v>#DIV/0!</v>
      </c>
      <c r="D48" s="184"/>
      <c r="E48" s="184"/>
      <c r="F48" s="184"/>
      <c r="G48" s="184"/>
      <c r="H48" s="184"/>
      <c r="I48" s="184"/>
      <c r="J48" s="184"/>
      <c r="K48" s="184"/>
      <c r="L48" s="185"/>
      <c r="M48" s="185"/>
    </row>
  </sheetData>
  <mergeCells count="5">
    <mergeCell ref="B1:N1"/>
    <mergeCell ref="B3:M3"/>
    <mergeCell ref="B14:M14"/>
    <mergeCell ref="B21:M21"/>
    <mergeCell ref="B30:M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23.16"/>
    <col collapsed="false" customWidth="true" hidden="false" outlineLevel="0" max="12" min="3" style="1" width="14"/>
  </cols>
  <sheetData>
    <row r="1" customFormat="false" ht="27.75" hidden="false" customHeight="true" outlineLevel="0" collapsed="false">
      <c r="B1" s="155" t="s">
        <v>427</v>
      </c>
      <c r="C1" s="155"/>
      <c r="D1" s="155"/>
      <c r="E1" s="155"/>
      <c r="F1" s="155"/>
      <c r="G1" s="155"/>
      <c r="H1" s="155"/>
      <c r="I1" s="155"/>
      <c r="J1" s="155"/>
      <c r="K1" s="155"/>
      <c r="L1" s="155"/>
    </row>
    <row r="2" customFormat="false" ht="15" hidden="false" customHeight="true" outlineLevel="0" collapsed="false">
      <c r="B2" s="203" t="s">
        <v>428</v>
      </c>
      <c r="C2" s="204" t="n">
        <f aca="false">'🔑 Assumptions'!C14</f>
        <v>0</v>
      </c>
      <c r="E2" s="203" t="s">
        <v>429</v>
      </c>
      <c r="F2" s="205" t="n">
        <f aca="false">'🔑 Assumptions'!C75</f>
        <v>0.034</v>
      </c>
    </row>
    <row r="3" customFormat="false" ht="21.75" hidden="false" customHeight="true" outlineLevel="0" collapsed="false">
      <c r="B3" s="206" t="s">
        <v>430</v>
      </c>
      <c r="C3" s="206"/>
      <c r="D3" s="206"/>
      <c r="E3" s="206"/>
      <c r="F3" s="206"/>
      <c r="G3" s="206"/>
      <c r="H3" s="206"/>
      <c r="I3" s="206"/>
      <c r="J3" s="206"/>
      <c r="K3" s="206"/>
      <c r="L3" s="206"/>
    </row>
    <row r="4" customFormat="false" ht="19.5" hidden="false" customHeight="true" outlineLevel="0" collapsed="false">
      <c r="B4" s="207" t="e">
        <f aca="false">'💰 FCF &amp; Val'!C45</f>
        <v>#DIV/0!</v>
      </c>
      <c r="C4" s="208" t="n">
        <v>0.03</v>
      </c>
      <c r="D4" s="208" t="n">
        <v>0.04</v>
      </c>
      <c r="E4" s="208" t="n">
        <v>0.05</v>
      </c>
      <c r="F4" s="208" t="n">
        <v>0.055</v>
      </c>
      <c r="G4" s="208" t="n">
        <v>0.06</v>
      </c>
      <c r="H4" s="208" t="n">
        <v>0.065</v>
      </c>
      <c r="I4" s="208" t="n">
        <v>0.07</v>
      </c>
    </row>
    <row r="5" customFormat="false" ht="19.5" hidden="false" customHeight="true" outlineLevel="0" collapsed="false">
      <c r="B5" s="209" t="n">
        <v>0.095</v>
      </c>
      <c r="C5" s="210" t="e">
        <f aca="false">( SUMPRODUCT('💰 FCF &amp; Val'!$D$11:$K$11,1/(1+$B5)^('💰 FCF &amp; Val'!$D$16:$K$16)) + ('💰 FCF &amp; Val'!$K$11*(1+C$4)/($B5+('🔑 Assumptions'!$C$76-'🔑 Assumptions'!$C$75)-C$4))/(1+$B5)^8 + '💰 FCF &amp; Val'!$C$40+'💰 FCF &amp; Val'!$C$41-'💰 FCF &amp; Val'!$C$38-'💰 FCF &amp; Val'!$C$39 )/'💰 FCF &amp; Val'!$C$44</f>
        <v>#DIV/0!</v>
      </c>
      <c r="D5" s="210" t="e">
        <f aca="false">( SUMPRODUCT('💰 FCF &amp; Val'!$D$11:$K$11,1/(1+$B5)^('💰 FCF &amp; Val'!$D$16:$K$16)) + ('💰 FCF &amp; Val'!$K$11*(1+D$4)/($B5+('🔑 Assumptions'!$C$76-'🔑 Assumptions'!$C$75)-D$4))/(1+$B5)^8 + '💰 FCF &amp; Val'!$C$40+'💰 FCF &amp; Val'!$C$41-'💰 FCF &amp; Val'!$C$38-'💰 FCF &amp; Val'!$C$39 )/'💰 FCF &amp; Val'!$C$44</f>
        <v>#DIV/0!</v>
      </c>
      <c r="E5" s="210" t="e">
        <f aca="false">( SUMPRODUCT('💰 FCF &amp; Val'!$D$11:$K$11,1/(1+$B5)^('💰 FCF &amp; Val'!$D$16:$K$16)) + ('💰 FCF &amp; Val'!$K$11*(1+E$4)/($B5+('🔑 Assumptions'!$C$76-'🔑 Assumptions'!$C$75)-E$4))/(1+$B5)^8 + '💰 FCF &amp; Val'!$C$40+'💰 FCF &amp; Val'!$C$41-'💰 FCF &amp; Val'!$C$38-'💰 FCF &amp; Val'!$C$39 )/'💰 FCF &amp; Val'!$C$44</f>
        <v>#DIV/0!</v>
      </c>
      <c r="F5" s="210" t="e">
        <f aca="false">( SUMPRODUCT('💰 FCF &amp; Val'!$D$11:$K$11,1/(1+$B5)^('💰 FCF &amp; Val'!$D$16:$K$16)) + ('💰 FCF &amp; Val'!$K$11*(1+F$4)/($B5+('🔑 Assumptions'!$C$76-'🔑 Assumptions'!$C$75)-F$4))/(1+$B5)^8 + '💰 FCF &amp; Val'!$C$40+'💰 FCF &amp; Val'!$C$41-'💰 FCF &amp; Val'!$C$38-'💰 FCF &amp; Val'!$C$39 )/'💰 FCF &amp; Val'!$C$44</f>
        <v>#DIV/0!</v>
      </c>
      <c r="G5" s="210" t="e">
        <f aca="false">( SUMPRODUCT('💰 FCF &amp; Val'!$D$11:$K$11,1/(1+$B5)^('💰 FCF &amp; Val'!$D$16:$K$16)) + ('💰 FCF &amp; Val'!$K$11*(1+G$4)/($B5+('🔑 Assumptions'!$C$76-'🔑 Assumptions'!$C$75)-G$4))/(1+$B5)^8 + '💰 FCF &amp; Val'!$C$40+'💰 FCF &amp; Val'!$C$41-'💰 FCF &amp; Val'!$C$38-'💰 FCF &amp; Val'!$C$39 )/'💰 FCF &amp; Val'!$C$44</f>
        <v>#DIV/0!</v>
      </c>
      <c r="H5" s="210" t="e">
        <f aca="false">( SUMPRODUCT('💰 FCF &amp; Val'!$D$11:$K$11,1/(1+$B5)^('💰 FCF &amp; Val'!$D$16:$K$16)) + ('💰 FCF &amp; Val'!$K$11*(1+H$4)/($B5+('🔑 Assumptions'!$C$76-'🔑 Assumptions'!$C$75)-H$4))/(1+$B5)^8 + '💰 FCF &amp; Val'!$C$40+'💰 FCF &amp; Val'!$C$41-'💰 FCF &amp; Val'!$C$38-'💰 FCF &amp; Val'!$C$39 )/'💰 FCF &amp; Val'!$C$44</f>
        <v>#DIV/0!</v>
      </c>
      <c r="I5" s="210" t="e">
        <f aca="false">( SUMPRODUCT('💰 FCF &amp; Val'!$D$11:$K$11,1/(1+$B5)^('💰 FCF &amp; Val'!$D$16:$K$16)) + ('💰 FCF &amp; Val'!$K$11*(1+I$4)/($B5+('🔑 Assumptions'!$C$76-'🔑 Assumptions'!$C$75)-I$4))/(1+$B5)^8 + '💰 FCF &amp; Val'!$C$40+'💰 FCF &amp; Val'!$C$41-'💰 FCF &amp; Val'!$C$38-'💰 FCF &amp; Val'!$C$39 )/'💰 FCF &amp; Val'!$C$44</f>
        <v>#DIV/0!</v>
      </c>
    </row>
    <row r="6" customFormat="false" ht="19.5" hidden="false" customHeight="true" outlineLevel="0" collapsed="false">
      <c r="B6" s="209" t="n">
        <v>0.1</v>
      </c>
      <c r="C6" s="210" t="e">
        <f aca="false">( SUMPRODUCT('💰 FCF &amp; Val'!$D$11:$K$11,1/(1+$B6)^('💰 FCF &amp; Val'!$D$16:$K$16)) + ('💰 FCF &amp; Val'!$K$11*(1+C$4)/($B6+('🔑 Assumptions'!$C$76-'🔑 Assumptions'!$C$75)-C$4))/(1+$B6)^8 + '💰 FCF &amp; Val'!$C$40+'💰 FCF &amp; Val'!$C$41-'💰 FCF &amp; Val'!$C$38-'💰 FCF &amp; Val'!$C$39 )/'💰 FCF &amp; Val'!$C$44</f>
        <v>#DIV/0!</v>
      </c>
      <c r="D6" s="210" t="e">
        <f aca="false">( SUMPRODUCT('💰 FCF &amp; Val'!$D$11:$K$11,1/(1+$B6)^('💰 FCF &amp; Val'!$D$16:$K$16)) + ('💰 FCF &amp; Val'!$K$11*(1+D$4)/($B6+('🔑 Assumptions'!$C$76-'🔑 Assumptions'!$C$75)-D$4))/(1+$B6)^8 + '💰 FCF &amp; Val'!$C$40+'💰 FCF &amp; Val'!$C$41-'💰 FCF &amp; Val'!$C$38-'💰 FCF &amp; Val'!$C$39 )/'💰 FCF &amp; Val'!$C$44</f>
        <v>#DIV/0!</v>
      </c>
      <c r="E6" s="210" t="e">
        <f aca="false">( SUMPRODUCT('💰 FCF &amp; Val'!$D$11:$K$11,1/(1+$B6)^('💰 FCF &amp; Val'!$D$16:$K$16)) + ('💰 FCF &amp; Val'!$K$11*(1+E$4)/($B6+('🔑 Assumptions'!$C$76-'🔑 Assumptions'!$C$75)-E$4))/(1+$B6)^8 + '💰 FCF &amp; Val'!$C$40+'💰 FCF &amp; Val'!$C$41-'💰 FCF &amp; Val'!$C$38-'💰 FCF &amp; Val'!$C$39 )/'💰 FCF &amp; Val'!$C$44</f>
        <v>#DIV/0!</v>
      </c>
      <c r="F6" s="210" t="e">
        <f aca="false">( SUMPRODUCT('💰 FCF &amp; Val'!$D$11:$K$11,1/(1+$B6)^('💰 FCF &amp; Val'!$D$16:$K$16)) + ('💰 FCF &amp; Val'!$K$11*(1+F$4)/($B6+('🔑 Assumptions'!$C$76-'🔑 Assumptions'!$C$75)-F$4))/(1+$B6)^8 + '💰 FCF &amp; Val'!$C$40+'💰 FCF &amp; Val'!$C$41-'💰 FCF &amp; Val'!$C$38-'💰 FCF &amp; Val'!$C$39 )/'💰 FCF &amp; Val'!$C$44</f>
        <v>#DIV/0!</v>
      </c>
      <c r="G6" s="210" t="e">
        <f aca="false">( SUMPRODUCT('💰 FCF &amp; Val'!$D$11:$K$11,1/(1+$B6)^('💰 FCF &amp; Val'!$D$16:$K$16)) + ('💰 FCF &amp; Val'!$K$11*(1+G$4)/($B6+('🔑 Assumptions'!$C$76-'🔑 Assumptions'!$C$75)-G$4))/(1+$B6)^8 + '💰 FCF &amp; Val'!$C$40+'💰 FCF &amp; Val'!$C$41-'💰 FCF &amp; Val'!$C$38-'💰 FCF &amp; Val'!$C$39 )/'💰 FCF &amp; Val'!$C$44</f>
        <v>#DIV/0!</v>
      </c>
      <c r="H6" s="210" t="e">
        <f aca="false">( SUMPRODUCT('💰 FCF &amp; Val'!$D$11:$K$11,1/(1+$B6)^('💰 FCF &amp; Val'!$D$16:$K$16)) + ('💰 FCF &amp; Val'!$K$11*(1+H$4)/($B6+('🔑 Assumptions'!$C$76-'🔑 Assumptions'!$C$75)-H$4))/(1+$B6)^8 + '💰 FCF &amp; Val'!$C$40+'💰 FCF &amp; Val'!$C$41-'💰 FCF &amp; Val'!$C$38-'💰 FCF &amp; Val'!$C$39 )/'💰 FCF &amp; Val'!$C$44</f>
        <v>#DIV/0!</v>
      </c>
      <c r="I6" s="210" t="e">
        <f aca="false">( SUMPRODUCT('💰 FCF &amp; Val'!$D$11:$K$11,1/(1+$B6)^('💰 FCF &amp; Val'!$D$16:$K$16)) + ('💰 FCF &amp; Val'!$K$11*(1+I$4)/($B6+('🔑 Assumptions'!$C$76-'🔑 Assumptions'!$C$75)-I$4))/(1+$B6)^8 + '💰 FCF &amp; Val'!$C$40+'💰 FCF &amp; Val'!$C$41-'💰 FCF &amp; Val'!$C$38-'💰 FCF &amp; Val'!$C$39 )/'💰 FCF &amp; Val'!$C$44</f>
        <v>#DIV/0!</v>
      </c>
    </row>
    <row r="7" customFormat="false" ht="19.5" hidden="false" customHeight="true" outlineLevel="0" collapsed="false">
      <c r="B7" s="209" t="n">
        <v>0.11</v>
      </c>
      <c r="C7" s="210" t="e">
        <f aca="false">( SUMPRODUCT('💰 FCF &amp; Val'!$D$11:$K$11,1/(1+$B7)^('💰 FCF &amp; Val'!$D$16:$K$16)) + ('💰 FCF &amp; Val'!$K$11*(1+C$4)/($B7+('🔑 Assumptions'!$C$76-'🔑 Assumptions'!$C$75)-C$4))/(1+$B7)^8 + '💰 FCF &amp; Val'!$C$40+'💰 FCF &amp; Val'!$C$41-'💰 FCF &amp; Val'!$C$38-'💰 FCF &amp; Val'!$C$39 )/'💰 FCF &amp; Val'!$C$44</f>
        <v>#DIV/0!</v>
      </c>
      <c r="D7" s="210" t="e">
        <f aca="false">( SUMPRODUCT('💰 FCF &amp; Val'!$D$11:$K$11,1/(1+$B7)^('💰 FCF &amp; Val'!$D$16:$K$16)) + ('💰 FCF &amp; Val'!$K$11*(1+D$4)/($B7+('🔑 Assumptions'!$C$76-'🔑 Assumptions'!$C$75)-D$4))/(1+$B7)^8 + '💰 FCF &amp; Val'!$C$40+'💰 FCF &amp; Val'!$C$41-'💰 FCF &amp; Val'!$C$38-'💰 FCF &amp; Val'!$C$39 )/'💰 FCF &amp; Val'!$C$44</f>
        <v>#DIV/0!</v>
      </c>
      <c r="E7" s="210" t="e">
        <f aca="false">( SUMPRODUCT('💰 FCF &amp; Val'!$D$11:$K$11,1/(1+$B7)^('💰 FCF &amp; Val'!$D$16:$K$16)) + ('💰 FCF &amp; Val'!$K$11*(1+E$4)/($B7+('🔑 Assumptions'!$C$76-'🔑 Assumptions'!$C$75)-E$4))/(1+$B7)^8 + '💰 FCF &amp; Val'!$C$40+'💰 FCF &amp; Val'!$C$41-'💰 FCF &amp; Val'!$C$38-'💰 FCF &amp; Val'!$C$39 )/'💰 FCF &amp; Val'!$C$44</f>
        <v>#DIV/0!</v>
      </c>
      <c r="F7" s="210" t="e">
        <f aca="false">( SUMPRODUCT('💰 FCF &amp; Val'!$D$11:$K$11,1/(1+$B7)^('💰 FCF &amp; Val'!$D$16:$K$16)) + ('💰 FCF &amp; Val'!$K$11*(1+F$4)/($B7+('🔑 Assumptions'!$C$76-'🔑 Assumptions'!$C$75)-F$4))/(1+$B7)^8 + '💰 FCF &amp; Val'!$C$40+'💰 FCF &amp; Val'!$C$41-'💰 FCF &amp; Val'!$C$38-'💰 FCF &amp; Val'!$C$39 )/'💰 FCF &amp; Val'!$C$44</f>
        <v>#DIV/0!</v>
      </c>
      <c r="G7" s="210" t="e">
        <f aca="false">( SUMPRODUCT('💰 FCF &amp; Val'!$D$11:$K$11,1/(1+$B7)^('💰 FCF &amp; Val'!$D$16:$K$16)) + ('💰 FCF &amp; Val'!$K$11*(1+G$4)/($B7+('🔑 Assumptions'!$C$76-'🔑 Assumptions'!$C$75)-G$4))/(1+$B7)^8 + '💰 FCF &amp; Val'!$C$40+'💰 FCF &amp; Val'!$C$41-'💰 FCF &amp; Val'!$C$38-'💰 FCF &amp; Val'!$C$39 )/'💰 FCF &amp; Val'!$C$44</f>
        <v>#DIV/0!</v>
      </c>
      <c r="H7" s="210" t="e">
        <f aca="false">( SUMPRODUCT('💰 FCF &amp; Val'!$D$11:$K$11,1/(1+$B7)^('💰 FCF &amp; Val'!$D$16:$K$16)) + ('💰 FCF &amp; Val'!$K$11*(1+H$4)/($B7+('🔑 Assumptions'!$C$76-'🔑 Assumptions'!$C$75)-H$4))/(1+$B7)^8 + '💰 FCF &amp; Val'!$C$40+'💰 FCF &amp; Val'!$C$41-'💰 FCF &amp; Val'!$C$38-'💰 FCF &amp; Val'!$C$39 )/'💰 FCF &amp; Val'!$C$44</f>
        <v>#DIV/0!</v>
      </c>
      <c r="I7" s="210" t="e">
        <f aca="false">( SUMPRODUCT('💰 FCF &amp; Val'!$D$11:$K$11,1/(1+$B7)^('💰 FCF &amp; Val'!$D$16:$K$16)) + ('💰 FCF &amp; Val'!$K$11*(1+I$4)/($B7+('🔑 Assumptions'!$C$76-'🔑 Assumptions'!$C$75)-I$4))/(1+$B7)^8 + '💰 FCF &amp; Val'!$C$40+'💰 FCF &amp; Val'!$C$41-'💰 FCF &amp; Val'!$C$38-'💰 FCF &amp; Val'!$C$39 )/'💰 FCF &amp; Val'!$C$44</f>
        <v>#DIV/0!</v>
      </c>
    </row>
    <row r="8" customFormat="false" ht="19.5" hidden="false" customHeight="true" outlineLevel="0" collapsed="false">
      <c r="B8" s="209" t="n">
        <v>0.12</v>
      </c>
      <c r="C8" s="210" t="e">
        <f aca="false">( SUMPRODUCT('💰 FCF &amp; Val'!$D$11:$K$11,1/(1+$B8)^('💰 FCF &amp; Val'!$D$16:$K$16)) + ('💰 FCF &amp; Val'!$K$11*(1+C$4)/($B8+('🔑 Assumptions'!$C$76-'🔑 Assumptions'!$C$75)-C$4))/(1+$B8)^8 + '💰 FCF &amp; Val'!$C$40+'💰 FCF &amp; Val'!$C$41-'💰 FCF &amp; Val'!$C$38-'💰 FCF &amp; Val'!$C$39 )/'💰 FCF &amp; Val'!$C$44</f>
        <v>#DIV/0!</v>
      </c>
      <c r="D8" s="210" t="e">
        <f aca="false">( SUMPRODUCT('💰 FCF &amp; Val'!$D$11:$K$11,1/(1+$B8)^('💰 FCF &amp; Val'!$D$16:$K$16)) + ('💰 FCF &amp; Val'!$K$11*(1+D$4)/($B8+('🔑 Assumptions'!$C$76-'🔑 Assumptions'!$C$75)-D$4))/(1+$B8)^8 + '💰 FCF &amp; Val'!$C$40+'💰 FCF &amp; Val'!$C$41-'💰 FCF &amp; Val'!$C$38-'💰 FCF &amp; Val'!$C$39 )/'💰 FCF &amp; Val'!$C$44</f>
        <v>#DIV/0!</v>
      </c>
      <c r="E8" s="210" t="e">
        <f aca="false">( SUMPRODUCT('💰 FCF &amp; Val'!$D$11:$K$11,1/(1+$B8)^('💰 FCF &amp; Val'!$D$16:$K$16)) + ('💰 FCF &amp; Val'!$K$11*(1+E$4)/($B8+('🔑 Assumptions'!$C$76-'🔑 Assumptions'!$C$75)-E$4))/(1+$B8)^8 + '💰 FCF &amp; Val'!$C$40+'💰 FCF &amp; Val'!$C$41-'💰 FCF &amp; Val'!$C$38-'💰 FCF &amp; Val'!$C$39 )/'💰 FCF &amp; Val'!$C$44</f>
        <v>#DIV/0!</v>
      </c>
      <c r="F8" s="210" t="e">
        <f aca="false">( SUMPRODUCT('💰 FCF &amp; Val'!$D$11:$K$11,1/(1+$B8)^('💰 FCF &amp; Val'!$D$16:$K$16)) + ('💰 FCF &amp; Val'!$K$11*(1+F$4)/($B8+('🔑 Assumptions'!$C$76-'🔑 Assumptions'!$C$75)-F$4))/(1+$B8)^8 + '💰 FCF &amp; Val'!$C$40+'💰 FCF &amp; Val'!$C$41-'💰 FCF &amp; Val'!$C$38-'💰 FCF &amp; Val'!$C$39 )/'💰 FCF &amp; Val'!$C$44</f>
        <v>#DIV/0!</v>
      </c>
      <c r="G8" s="210" t="e">
        <f aca="false">( SUMPRODUCT('💰 FCF &amp; Val'!$D$11:$K$11,1/(1+$B8)^('💰 FCF &amp; Val'!$D$16:$K$16)) + ('💰 FCF &amp; Val'!$K$11*(1+G$4)/($B8+('🔑 Assumptions'!$C$76-'🔑 Assumptions'!$C$75)-G$4))/(1+$B8)^8 + '💰 FCF &amp; Val'!$C$40+'💰 FCF &amp; Val'!$C$41-'💰 FCF &amp; Val'!$C$38-'💰 FCF &amp; Val'!$C$39 )/'💰 FCF &amp; Val'!$C$44</f>
        <v>#DIV/0!</v>
      </c>
      <c r="H8" s="210" t="e">
        <f aca="false">( SUMPRODUCT('💰 FCF &amp; Val'!$D$11:$K$11,1/(1+$B8)^('💰 FCF &amp; Val'!$D$16:$K$16)) + ('💰 FCF &amp; Val'!$K$11*(1+H$4)/($B8+('🔑 Assumptions'!$C$76-'🔑 Assumptions'!$C$75)-H$4))/(1+$B8)^8 + '💰 FCF &amp; Val'!$C$40+'💰 FCF &amp; Val'!$C$41-'💰 FCF &amp; Val'!$C$38-'💰 FCF &amp; Val'!$C$39 )/'💰 FCF &amp; Val'!$C$44</f>
        <v>#DIV/0!</v>
      </c>
      <c r="I8" s="210" t="e">
        <f aca="false">( SUMPRODUCT('💰 FCF &amp; Val'!$D$11:$K$11,1/(1+$B8)^('💰 FCF &amp; Val'!$D$16:$K$16)) + ('💰 FCF &amp; Val'!$K$11*(1+I$4)/($B8+('🔑 Assumptions'!$C$76-'🔑 Assumptions'!$C$75)-I$4))/(1+$B8)^8 + '💰 FCF &amp; Val'!$C$40+'💰 FCF &amp; Val'!$C$41-'💰 FCF &amp; Val'!$C$38-'💰 FCF &amp; Val'!$C$39 )/'💰 FCF &amp; Val'!$C$44</f>
        <v>#DIV/0!</v>
      </c>
    </row>
    <row r="9" customFormat="false" ht="19.5" hidden="false" customHeight="true" outlineLevel="0" collapsed="false">
      <c r="B9" s="209" t="n">
        <v>0.125</v>
      </c>
      <c r="C9" s="210" t="e">
        <f aca="false">( SUMPRODUCT('💰 FCF &amp; Val'!$D$11:$K$11,1/(1+$B9)^('💰 FCF &amp; Val'!$D$16:$K$16)) + ('💰 FCF &amp; Val'!$K$11*(1+C$4)/($B9+('🔑 Assumptions'!$C$76-'🔑 Assumptions'!$C$75)-C$4))/(1+$B9)^8 + '💰 FCF &amp; Val'!$C$40+'💰 FCF &amp; Val'!$C$41-'💰 FCF &amp; Val'!$C$38-'💰 FCF &amp; Val'!$C$39 )/'💰 FCF &amp; Val'!$C$44</f>
        <v>#DIV/0!</v>
      </c>
      <c r="D9" s="210" t="e">
        <f aca="false">( SUMPRODUCT('💰 FCF &amp; Val'!$D$11:$K$11,1/(1+$B9)^('💰 FCF &amp; Val'!$D$16:$K$16)) + ('💰 FCF &amp; Val'!$K$11*(1+D$4)/($B9+('🔑 Assumptions'!$C$76-'🔑 Assumptions'!$C$75)-D$4))/(1+$B9)^8 + '💰 FCF &amp; Val'!$C$40+'💰 FCF &amp; Val'!$C$41-'💰 FCF &amp; Val'!$C$38-'💰 FCF &amp; Val'!$C$39 )/'💰 FCF &amp; Val'!$C$44</f>
        <v>#DIV/0!</v>
      </c>
      <c r="E9" s="210" t="e">
        <f aca="false">( SUMPRODUCT('💰 FCF &amp; Val'!$D$11:$K$11,1/(1+$B9)^('💰 FCF &amp; Val'!$D$16:$K$16)) + ('💰 FCF &amp; Val'!$K$11*(1+E$4)/($B9+('🔑 Assumptions'!$C$76-'🔑 Assumptions'!$C$75)-E$4))/(1+$B9)^8 + '💰 FCF &amp; Val'!$C$40+'💰 FCF &amp; Val'!$C$41-'💰 FCF &amp; Val'!$C$38-'💰 FCF &amp; Val'!$C$39 )/'💰 FCF &amp; Val'!$C$44</f>
        <v>#DIV/0!</v>
      </c>
      <c r="F9" s="210" t="e">
        <f aca="false">( SUMPRODUCT('💰 FCF &amp; Val'!$D$11:$K$11,1/(1+$B9)^('💰 FCF &amp; Val'!$D$16:$K$16)) + ('💰 FCF &amp; Val'!$K$11*(1+F$4)/($B9+('🔑 Assumptions'!$C$76-'🔑 Assumptions'!$C$75)-F$4))/(1+$B9)^8 + '💰 FCF &amp; Val'!$C$40+'💰 FCF &amp; Val'!$C$41-'💰 FCF &amp; Val'!$C$38-'💰 FCF &amp; Val'!$C$39 )/'💰 FCF &amp; Val'!$C$44</f>
        <v>#DIV/0!</v>
      </c>
      <c r="G9" s="210" t="e">
        <f aca="false">( SUMPRODUCT('💰 FCF &amp; Val'!$D$11:$K$11,1/(1+$B9)^('💰 FCF &amp; Val'!$D$16:$K$16)) + ('💰 FCF &amp; Val'!$K$11*(1+G$4)/($B9+('🔑 Assumptions'!$C$76-'🔑 Assumptions'!$C$75)-G$4))/(1+$B9)^8 + '💰 FCF &amp; Val'!$C$40+'💰 FCF &amp; Val'!$C$41-'💰 FCF &amp; Val'!$C$38-'💰 FCF &amp; Val'!$C$39 )/'💰 FCF &amp; Val'!$C$44</f>
        <v>#DIV/0!</v>
      </c>
      <c r="H9" s="210" t="e">
        <f aca="false">( SUMPRODUCT('💰 FCF &amp; Val'!$D$11:$K$11,1/(1+$B9)^('💰 FCF &amp; Val'!$D$16:$K$16)) + ('💰 FCF &amp; Val'!$K$11*(1+H$4)/($B9+('🔑 Assumptions'!$C$76-'🔑 Assumptions'!$C$75)-H$4))/(1+$B9)^8 + '💰 FCF &amp; Val'!$C$40+'💰 FCF &amp; Val'!$C$41-'💰 FCF &amp; Val'!$C$38-'💰 FCF &amp; Val'!$C$39 )/'💰 FCF &amp; Val'!$C$44</f>
        <v>#DIV/0!</v>
      </c>
      <c r="I9" s="210" t="e">
        <f aca="false">( SUMPRODUCT('💰 FCF &amp; Val'!$D$11:$K$11,1/(1+$B9)^('💰 FCF &amp; Val'!$D$16:$K$16)) + ('💰 FCF &amp; Val'!$K$11*(1+I$4)/($B9+('🔑 Assumptions'!$C$76-'🔑 Assumptions'!$C$75)-I$4))/(1+$B9)^8 + '💰 FCF &amp; Val'!$C$40+'💰 FCF &amp; Val'!$C$41-'💰 FCF &amp; Val'!$C$38-'💰 FCF &amp; Val'!$C$39 )/'💰 FCF &amp; Val'!$C$44</f>
        <v>#DIV/0!</v>
      </c>
    </row>
    <row r="10" customFormat="false" ht="19.5" hidden="false" customHeight="true" outlineLevel="0" collapsed="false">
      <c r="B10" s="209" t="n">
        <v>0.13</v>
      </c>
      <c r="C10" s="210" t="e">
        <f aca="false">( SUMPRODUCT('💰 FCF &amp; Val'!$D$11:$K$11,1/(1+$B10)^('💰 FCF &amp; Val'!$D$16:$K$16)) + ('💰 FCF &amp; Val'!$K$11*(1+C$4)/($B10+('🔑 Assumptions'!$C$76-'🔑 Assumptions'!$C$75)-C$4))/(1+$B10)^8 + '💰 FCF &amp; Val'!$C$40+'💰 FCF &amp; Val'!$C$41-'💰 FCF &amp; Val'!$C$38-'💰 FCF &amp; Val'!$C$39 )/'💰 FCF &amp; Val'!$C$44</f>
        <v>#DIV/0!</v>
      </c>
      <c r="D10" s="210" t="e">
        <f aca="false">( SUMPRODUCT('💰 FCF &amp; Val'!$D$11:$K$11,1/(1+$B10)^('💰 FCF &amp; Val'!$D$16:$K$16)) + ('💰 FCF &amp; Val'!$K$11*(1+D$4)/($B10+('🔑 Assumptions'!$C$76-'🔑 Assumptions'!$C$75)-D$4))/(1+$B10)^8 + '💰 FCF &amp; Val'!$C$40+'💰 FCF &amp; Val'!$C$41-'💰 FCF &amp; Val'!$C$38-'💰 FCF &amp; Val'!$C$39 )/'💰 FCF &amp; Val'!$C$44</f>
        <v>#DIV/0!</v>
      </c>
      <c r="E10" s="210" t="e">
        <f aca="false">( SUMPRODUCT('💰 FCF &amp; Val'!$D$11:$K$11,1/(1+$B10)^('💰 FCF &amp; Val'!$D$16:$K$16)) + ('💰 FCF &amp; Val'!$K$11*(1+E$4)/($B10+('🔑 Assumptions'!$C$76-'🔑 Assumptions'!$C$75)-E$4))/(1+$B10)^8 + '💰 FCF &amp; Val'!$C$40+'💰 FCF &amp; Val'!$C$41-'💰 FCF &amp; Val'!$C$38-'💰 FCF &amp; Val'!$C$39 )/'💰 FCF &amp; Val'!$C$44</f>
        <v>#DIV/0!</v>
      </c>
      <c r="F10" s="210" t="e">
        <f aca="false">( SUMPRODUCT('💰 FCF &amp; Val'!$D$11:$K$11,1/(1+$B10)^('💰 FCF &amp; Val'!$D$16:$K$16)) + ('💰 FCF &amp; Val'!$K$11*(1+F$4)/($B10+('🔑 Assumptions'!$C$76-'🔑 Assumptions'!$C$75)-F$4))/(1+$B10)^8 + '💰 FCF &amp; Val'!$C$40+'💰 FCF &amp; Val'!$C$41-'💰 FCF &amp; Val'!$C$38-'💰 FCF &amp; Val'!$C$39 )/'💰 FCF &amp; Val'!$C$44</f>
        <v>#DIV/0!</v>
      </c>
      <c r="G10" s="210" t="e">
        <f aca="false">( SUMPRODUCT('💰 FCF &amp; Val'!$D$11:$K$11,1/(1+$B10)^('💰 FCF &amp; Val'!$D$16:$K$16)) + ('💰 FCF &amp; Val'!$K$11*(1+G$4)/($B10+('🔑 Assumptions'!$C$76-'🔑 Assumptions'!$C$75)-G$4))/(1+$B10)^8 + '💰 FCF &amp; Val'!$C$40+'💰 FCF &amp; Val'!$C$41-'💰 FCF &amp; Val'!$C$38-'💰 FCF &amp; Val'!$C$39 )/'💰 FCF &amp; Val'!$C$44</f>
        <v>#DIV/0!</v>
      </c>
      <c r="H10" s="210" t="e">
        <f aca="false">( SUMPRODUCT('💰 FCF &amp; Val'!$D$11:$K$11,1/(1+$B10)^('💰 FCF &amp; Val'!$D$16:$K$16)) + ('💰 FCF &amp; Val'!$K$11*(1+H$4)/($B10+('🔑 Assumptions'!$C$76-'🔑 Assumptions'!$C$75)-H$4))/(1+$B10)^8 + '💰 FCF &amp; Val'!$C$40+'💰 FCF &amp; Val'!$C$41-'💰 FCF &amp; Val'!$C$38-'💰 FCF &amp; Val'!$C$39 )/'💰 FCF &amp; Val'!$C$44</f>
        <v>#DIV/0!</v>
      </c>
      <c r="I10" s="210" t="e">
        <f aca="false">( SUMPRODUCT('💰 FCF &amp; Val'!$D$11:$K$11,1/(1+$B10)^('💰 FCF &amp; Val'!$D$16:$K$16)) + ('💰 FCF &amp; Val'!$K$11*(1+I$4)/($B10+('🔑 Assumptions'!$C$76-'🔑 Assumptions'!$C$75)-I$4))/(1+$B10)^8 + '💰 FCF &amp; Val'!$C$40+'💰 FCF &amp; Val'!$C$41-'💰 FCF &amp; Val'!$C$38-'💰 FCF &amp; Val'!$C$39 )/'💰 FCF &amp; Val'!$C$44</f>
        <v>#DIV/0!</v>
      </c>
    </row>
    <row r="11" customFormat="false" ht="19.5" hidden="false" customHeight="true" outlineLevel="0" collapsed="false">
      <c r="B11" s="209" t="n">
        <v>0.14</v>
      </c>
      <c r="C11" s="210" t="e">
        <f aca="false">( SUMPRODUCT('💰 FCF &amp; Val'!$D$11:$K$11,1/(1+$B11)^('💰 FCF &amp; Val'!$D$16:$K$16)) + ('💰 FCF &amp; Val'!$K$11*(1+C$4)/($B11+('🔑 Assumptions'!$C$76-'🔑 Assumptions'!$C$75)-C$4))/(1+$B11)^8 + '💰 FCF &amp; Val'!$C$40+'💰 FCF &amp; Val'!$C$41-'💰 FCF &amp; Val'!$C$38-'💰 FCF &amp; Val'!$C$39 )/'💰 FCF &amp; Val'!$C$44</f>
        <v>#DIV/0!</v>
      </c>
      <c r="D11" s="210" t="e">
        <f aca="false">( SUMPRODUCT('💰 FCF &amp; Val'!$D$11:$K$11,1/(1+$B11)^('💰 FCF &amp; Val'!$D$16:$K$16)) + ('💰 FCF &amp; Val'!$K$11*(1+D$4)/($B11+('🔑 Assumptions'!$C$76-'🔑 Assumptions'!$C$75)-D$4))/(1+$B11)^8 + '💰 FCF &amp; Val'!$C$40+'💰 FCF &amp; Val'!$C$41-'💰 FCF &amp; Val'!$C$38-'💰 FCF &amp; Val'!$C$39 )/'💰 FCF &amp; Val'!$C$44</f>
        <v>#DIV/0!</v>
      </c>
      <c r="E11" s="210" t="e">
        <f aca="false">( SUMPRODUCT('💰 FCF &amp; Val'!$D$11:$K$11,1/(1+$B11)^('💰 FCF &amp; Val'!$D$16:$K$16)) + ('💰 FCF &amp; Val'!$K$11*(1+E$4)/($B11+('🔑 Assumptions'!$C$76-'🔑 Assumptions'!$C$75)-E$4))/(1+$B11)^8 + '💰 FCF &amp; Val'!$C$40+'💰 FCF &amp; Val'!$C$41-'💰 FCF &amp; Val'!$C$38-'💰 FCF &amp; Val'!$C$39 )/'💰 FCF &amp; Val'!$C$44</f>
        <v>#DIV/0!</v>
      </c>
      <c r="F11" s="210" t="e">
        <f aca="false">( SUMPRODUCT('💰 FCF &amp; Val'!$D$11:$K$11,1/(1+$B11)^('💰 FCF &amp; Val'!$D$16:$K$16)) + ('💰 FCF &amp; Val'!$K$11*(1+F$4)/($B11+('🔑 Assumptions'!$C$76-'🔑 Assumptions'!$C$75)-F$4))/(1+$B11)^8 + '💰 FCF &amp; Val'!$C$40+'💰 FCF &amp; Val'!$C$41-'💰 FCF &amp; Val'!$C$38-'💰 FCF &amp; Val'!$C$39 )/'💰 FCF &amp; Val'!$C$44</f>
        <v>#DIV/0!</v>
      </c>
      <c r="G11" s="210" t="e">
        <f aca="false">( SUMPRODUCT('💰 FCF &amp; Val'!$D$11:$K$11,1/(1+$B11)^('💰 FCF &amp; Val'!$D$16:$K$16)) + ('💰 FCF &amp; Val'!$K$11*(1+G$4)/($B11+('🔑 Assumptions'!$C$76-'🔑 Assumptions'!$C$75)-G$4))/(1+$B11)^8 + '💰 FCF &amp; Val'!$C$40+'💰 FCF &amp; Val'!$C$41-'💰 FCF &amp; Val'!$C$38-'💰 FCF &amp; Val'!$C$39 )/'💰 FCF &amp; Val'!$C$44</f>
        <v>#DIV/0!</v>
      </c>
      <c r="H11" s="210" t="e">
        <f aca="false">( SUMPRODUCT('💰 FCF &amp; Val'!$D$11:$K$11,1/(1+$B11)^('💰 FCF &amp; Val'!$D$16:$K$16)) + ('💰 FCF &amp; Val'!$K$11*(1+H$4)/($B11+('🔑 Assumptions'!$C$76-'🔑 Assumptions'!$C$75)-H$4))/(1+$B11)^8 + '💰 FCF &amp; Val'!$C$40+'💰 FCF &amp; Val'!$C$41-'💰 FCF &amp; Val'!$C$38-'💰 FCF &amp; Val'!$C$39 )/'💰 FCF &amp; Val'!$C$44</f>
        <v>#DIV/0!</v>
      </c>
      <c r="I11" s="210" t="e">
        <f aca="false">( SUMPRODUCT('💰 FCF &amp; Val'!$D$11:$K$11,1/(1+$B11)^('💰 FCF &amp; Val'!$D$16:$K$16)) + ('💰 FCF &amp; Val'!$K$11*(1+I$4)/($B11+('🔑 Assumptions'!$C$76-'🔑 Assumptions'!$C$75)-I$4))/(1+$B11)^8 + '💰 FCF &amp; Val'!$C$40+'💰 FCF &amp; Val'!$C$41-'💰 FCF &amp; Val'!$C$38-'💰 FCF &amp; Val'!$C$39 )/'💰 FCF &amp; Val'!$C$44</f>
        <v>#DIV/0!</v>
      </c>
    </row>
    <row r="12" customFormat="false" ht="19.5" hidden="false" customHeight="true" outlineLevel="0" collapsed="false">
      <c r="B12" s="209" t="n">
        <v>0.15</v>
      </c>
      <c r="C12" s="210" t="e">
        <f aca="false">( SUMPRODUCT('💰 FCF &amp; Val'!$D$11:$K$11,1/(1+$B12)^('💰 FCF &amp; Val'!$D$16:$K$16)) + ('💰 FCF &amp; Val'!$K$11*(1+C$4)/($B12+('🔑 Assumptions'!$C$76-'🔑 Assumptions'!$C$75)-C$4))/(1+$B12)^8 + '💰 FCF &amp; Val'!$C$40+'💰 FCF &amp; Val'!$C$41-'💰 FCF &amp; Val'!$C$38-'💰 FCF &amp; Val'!$C$39 )/'💰 FCF &amp; Val'!$C$44</f>
        <v>#DIV/0!</v>
      </c>
      <c r="D12" s="210" t="e">
        <f aca="false">( SUMPRODUCT('💰 FCF &amp; Val'!$D$11:$K$11,1/(1+$B12)^('💰 FCF &amp; Val'!$D$16:$K$16)) + ('💰 FCF &amp; Val'!$K$11*(1+D$4)/($B12+('🔑 Assumptions'!$C$76-'🔑 Assumptions'!$C$75)-D$4))/(1+$B12)^8 + '💰 FCF &amp; Val'!$C$40+'💰 FCF &amp; Val'!$C$41-'💰 FCF &amp; Val'!$C$38-'💰 FCF &amp; Val'!$C$39 )/'💰 FCF &amp; Val'!$C$44</f>
        <v>#DIV/0!</v>
      </c>
      <c r="E12" s="210" t="e">
        <f aca="false">( SUMPRODUCT('💰 FCF &amp; Val'!$D$11:$K$11,1/(1+$B12)^('💰 FCF &amp; Val'!$D$16:$K$16)) + ('💰 FCF &amp; Val'!$K$11*(1+E$4)/($B12+('🔑 Assumptions'!$C$76-'🔑 Assumptions'!$C$75)-E$4))/(1+$B12)^8 + '💰 FCF &amp; Val'!$C$40+'💰 FCF &amp; Val'!$C$41-'💰 FCF &amp; Val'!$C$38-'💰 FCF &amp; Val'!$C$39 )/'💰 FCF &amp; Val'!$C$44</f>
        <v>#DIV/0!</v>
      </c>
      <c r="F12" s="210" t="e">
        <f aca="false">( SUMPRODUCT('💰 FCF &amp; Val'!$D$11:$K$11,1/(1+$B12)^('💰 FCF &amp; Val'!$D$16:$K$16)) + ('💰 FCF &amp; Val'!$K$11*(1+F$4)/($B12+('🔑 Assumptions'!$C$76-'🔑 Assumptions'!$C$75)-F$4))/(1+$B12)^8 + '💰 FCF &amp; Val'!$C$40+'💰 FCF &amp; Val'!$C$41-'💰 FCF &amp; Val'!$C$38-'💰 FCF &amp; Val'!$C$39 )/'💰 FCF &amp; Val'!$C$44</f>
        <v>#DIV/0!</v>
      </c>
      <c r="G12" s="210" t="e">
        <f aca="false">( SUMPRODUCT('💰 FCF &amp; Val'!$D$11:$K$11,1/(1+$B12)^('💰 FCF &amp; Val'!$D$16:$K$16)) + ('💰 FCF &amp; Val'!$K$11*(1+G$4)/($B12+('🔑 Assumptions'!$C$76-'🔑 Assumptions'!$C$75)-G$4))/(1+$B12)^8 + '💰 FCF &amp; Val'!$C$40+'💰 FCF &amp; Val'!$C$41-'💰 FCF &amp; Val'!$C$38-'💰 FCF &amp; Val'!$C$39 )/'💰 FCF &amp; Val'!$C$44</f>
        <v>#DIV/0!</v>
      </c>
      <c r="H12" s="210" t="e">
        <f aca="false">( SUMPRODUCT('💰 FCF &amp; Val'!$D$11:$K$11,1/(1+$B12)^('💰 FCF &amp; Val'!$D$16:$K$16)) + ('💰 FCF &amp; Val'!$K$11*(1+H$4)/($B12+('🔑 Assumptions'!$C$76-'🔑 Assumptions'!$C$75)-H$4))/(1+$B12)^8 + '💰 FCF &amp; Val'!$C$40+'💰 FCF &amp; Val'!$C$41-'💰 FCF &amp; Val'!$C$38-'💰 FCF &amp; Val'!$C$39 )/'💰 FCF &amp; Val'!$C$44</f>
        <v>#DIV/0!</v>
      </c>
      <c r="I12" s="210" t="e">
        <f aca="false">( SUMPRODUCT('💰 FCF &amp; Val'!$D$11:$K$11,1/(1+$B12)^('💰 FCF &amp; Val'!$D$16:$K$16)) + ('💰 FCF &amp; Val'!$K$11*(1+I$4)/($B12+('🔑 Assumptions'!$C$76-'🔑 Assumptions'!$C$75)-I$4))/(1+$B12)^8 + '💰 FCF &amp; Val'!$C$40+'💰 FCF &amp; Val'!$C$41-'💰 FCF &amp; Val'!$C$38-'💰 FCF &amp; Val'!$C$39 )/'💰 FCF &amp; Val'!$C$44</f>
        <v>#DIV/0!</v>
      </c>
    </row>
    <row r="13" customFormat="false" ht="21.75" hidden="false" customHeight="true" outlineLevel="0" collapsed="false">
      <c r="B13" s="211" t="s">
        <v>431</v>
      </c>
      <c r="C13" s="211"/>
      <c r="D13" s="211"/>
      <c r="E13" s="211"/>
      <c r="F13" s="211"/>
      <c r="G13" s="211"/>
      <c r="H13" s="211"/>
      <c r="I13" s="211"/>
    </row>
    <row r="14" customFormat="false" ht="21.75" hidden="false" customHeight="true" outlineLevel="0" collapsed="false">
      <c r="B14" s="212" t="s">
        <v>432</v>
      </c>
      <c r="C14" s="212"/>
      <c r="D14" s="212"/>
      <c r="E14" s="212"/>
      <c r="F14" s="212"/>
      <c r="G14" s="212"/>
      <c r="H14" s="212"/>
      <c r="I14" s="212"/>
    </row>
    <row r="15" customFormat="false" ht="21.75" hidden="false" customHeight="true" outlineLevel="0" collapsed="false">
      <c r="B15" s="13" t="s">
        <v>433</v>
      </c>
      <c r="C15" s="13"/>
      <c r="D15" s="13"/>
      <c r="E15" s="13"/>
      <c r="F15" s="13"/>
      <c r="G15" s="13"/>
      <c r="H15" s="13"/>
      <c r="I15" s="13"/>
      <c r="J15" s="13"/>
      <c r="K15" s="13"/>
    </row>
    <row r="16" customFormat="false" ht="21.75" hidden="false" customHeight="true" outlineLevel="0" collapsed="false">
      <c r="B16" s="213"/>
      <c r="C16" s="213"/>
      <c r="D16" s="213"/>
      <c r="E16" s="213"/>
      <c r="F16" s="213"/>
      <c r="G16" s="213"/>
      <c r="H16" s="213"/>
      <c r="I16" s="213"/>
      <c r="J16" s="213"/>
      <c r="K16" s="213"/>
      <c r="L16" s="213"/>
    </row>
    <row r="17" customFormat="false" ht="21.75" hidden="false" customHeight="true" outlineLevel="0" collapsed="false">
      <c r="B17" s="213"/>
      <c r="C17" s="213"/>
      <c r="D17" s="213"/>
      <c r="E17" s="213"/>
      <c r="F17" s="213"/>
      <c r="G17" s="213"/>
      <c r="H17" s="213"/>
      <c r="I17" s="213"/>
      <c r="J17" s="213"/>
      <c r="K17" s="213"/>
      <c r="L17" s="213"/>
    </row>
    <row r="18" customFormat="false" ht="21.75" hidden="false" customHeight="true" outlineLevel="0" collapsed="false">
      <c r="B18" s="213"/>
      <c r="C18" s="213"/>
      <c r="D18" s="213"/>
      <c r="E18" s="213"/>
      <c r="F18" s="213"/>
      <c r="G18" s="213"/>
      <c r="H18" s="213"/>
      <c r="I18" s="213"/>
      <c r="J18" s="213"/>
      <c r="K18" s="213"/>
      <c r="L18" s="213"/>
    </row>
    <row r="19" customFormat="false" ht="21.75" hidden="false" customHeight="true" outlineLevel="0" collapsed="false">
      <c r="B19" s="213"/>
      <c r="C19" s="213"/>
      <c r="D19" s="213"/>
      <c r="E19" s="213"/>
      <c r="F19" s="213"/>
      <c r="G19" s="213"/>
      <c r="H19" s="213"/>
      <c r="I19" s="213"/>
      <c r="J19" s="213"/>
      <c r="K19" s="213"/>
      <c r="L19" s="213"/>
    </row>
    <row r="20" customFormat="false" ht="21.75" hidden="false" customHeight="true" outlineLevel="0" collapsed="false">
      <c r="B20" s="213"/>
      <c r="C20" s="213"/>
      <c r="D20" s="213"/>
      <c r="E20" s="213"/>
      <c r="F20" s="213"/>
      <c r="G20" s="213"/>
      <c r="H20" s="213"/>
      <c r="I20" s="213"/>
      <c r="J20" s="213"/>
      <c r="K20" s="213"/>
      <c r="L20" s="213"/>
    </row>
    <row r="21" customFormat="false" ht="21.75" hidden="false" customHeight="true" outlineLevel="0" collapsed="false">
      <c r="B21" s="213"/>
      <c r="C21" s="213"/>
      <c r="D21" s="213"/>
      <c r="E21" s="213"/>
      <c r="F21" s="213"/>
      <c r="G21" s="213"/>
      <c r="H21" s="213"/>
      <c r="I21" s="213"/>
      <c r="J21" s="213"/>
      <c r="K21" s="213"/>
      <c r="L21" s="213"/>
    </row>
  </sheetData>
  <mergeCells count="11">
    <mergeCell ref="B1:L1"/>
    <mergeCell ref="B3:L3"/>
    <mergeCell ref="B13:I13"/>
    <mergeCell ref="B14:I14"/>
    <mergeCell ref="B15:K15"/>
    <mergeCell ref="B16:L16"/>
    <mergeCell ref="B17:L17"/>
    <mergeCell ref="B18:L18"/>
    <mergeCell ref="B19:L19"/>
    <mergeCell ref="B20:L20"/>
    <mergeCell ref="B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operator="greaterThan" id="{1826AF55-F497-4A35-98C3-F069C6A1DEA0}">
            <xm:f>'💰 FCF &amp; Val'!$C$46</xm:f>
            <x14:dxf>
              <fill>
                <patternFill>
                  <bgColor rgb="FFC6EFCE"/>
                </patternFill>
              </fill>
            </x14:dxf>
          </x14:cfRule>
          <xm:sqref>C5:I12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72"/>
  <sheetViews>
    <sheetView showFormulas="false" showGridLines="false" showRowColHeaders="true" showZeros="true" rightToLeft="false" tabSelected="true" showOutlineSymbols="true" defaultGridColor="true" view="normal" topLeftCell="A5" colorId="64" zoomScale="100" zoomScaleNormal="100" zoomScalePageLayoutView="100" workbookViewId="0">
      <pane xSplit="2" ySplit="11" topLeftCell="C16" activePane="bottomRight" state="frozen"/>
      <selection pane="topLeft" activeCell="A5" activeCellId="0" sqref="A5"/>
      <selection pane="topRight" activeCell="C5" activeCellId="0" sqref="C5"/>
      <selection pane="bottomLeft" activeCell="A16" activeCellId="0" sqref="A16"/>
      <selection pane="bottomRight" activeCell="G27" activeCellId="0" sqref="G27"/>
    </sheetView>
  </sheetViews>
  <sheetFormatPr defaultColWidth="8.6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6" min="3" style="1" width="16"/>
    <col collapsed="false" customWidth="true" hidden="false" outlineLevel="0" max="7" min="7" style="1" width="36"/>
  </cols>
  <sheetData>
    <row r="1" customFormat="false" ht="27.75" hidden="false" customHeight="true" outlineLevel="0" collapsed="false">
      <c r="B1" s="13" t="s">
        <v>434</v>
      </c>
      <c r="C1" s="13"/>
      <c r="D1" s="13"/>
      <c r="E1" s="13"/>
      <c r="F1" s="13"/>
    </row>
    <row r="4" customFormat="false" ht="21.75" hidden="false" customHeight="true" outlineLevel="0" collapsed="false">
      <c r="B4" s="24" t="s">
        <v>435</v>
      </c>
      <c r="C4" s="24"/>
      <c r="D4" s="24"/>
      <c r="E4" s="24"/>
      <c r="F4" s="24"/>
      <c r="G4" s="24"/>
    </row>
    <row r="5" customFormat="false" ht="18" hidden="false" customHeight="true" outlineLevel="0" collapsed="false">
      <c r="B5" s="156" t="s">
        <v>297</v>
      </c>
      <c r="C5" s="26" t="s">
        <v>252</v>
      </c>
      <c r="G5" s="156" t="s">
        <v>436</v>
      </c>
    </row>
    <row r="6" customFormat="false" ht="30" hidden="false" customHeight="true" outlineLevel="0" collapsed="false">
      <c r="B6" s="159" t="s">
        <v>437</v>
      </c>
      <c r="C6" s="214" t="e">
        <f aca="false">SLOPE(F17:F172,E17:E172)</f>
        <v>#DIV/0!</v>
      </c>
      <c r="D6" s="185"/>
      <c r="E6" s="185"/>
      <c r="F6" s="185"/>
      <c r="G6" s="59" t="s">
        <v>438</v>
      </c>
    </row>
    <row r="7" customFormat="false" ht="30" hidden="false" customHeight="true" outlineLevel="0" collapsed="false">
      <c r="B7" s="159" t="s">
        <v>439</v>
      </c>
      <c r="C7" s="214" t="str">
        <f aca="false">B6</f>
        <v>Calculated Beta  (Raw)</v>
      </c>
      <c r="D7" s="185"/>
      <c r="E7" s="185"/>
      <c r="F7" s="185"/>
      <c r="G7" s="59" t="s">
        <v>440</v>
      </c>
    </row>
    <row r="8" customFormat="false" ht="30" hidden="false" customHeight="true" outlineLevel="0" collapsed="false">
      <c r="B8" s="159" t="s">
        <v>441</v>
      </c>
      <c r="C8" s="215" t="n">
        <f aca="false">COUNTA(B16:B172)</f>
        <v>157</v>
      </c>
      <c r="D8" s="185"/>
      <c r="E8" s="185"/>
      <c r="F8" s="185"/>
      <c r="G8" s="59" t="s">
        <v>442</v>
      </c>
    </row>
    <row r="9" customFormat="false" ht="30" hidden="false" customHeight="true" outlineLevel="0" collapsed="false">
      <c r="B9" s="159" t="s">
        <v>443</v>
      </c>
      <c r="C9" s="216" t="n">
        <f aca="false">IFERROR(RSQ(F17:F172,E17:E172),0)</f>
        <v>0</v>
      </c>
      <c r="D9" s="185"/>
      <c r="E9" s="185"/>
      <c r="F9" s="185"/>
      <c r="G9" s="59" t="s">
        <v>444</v>
      </c>
    </row>
    <row r="11" customFormat="false" ht="15" hidden="false" customHeight="true" outlineLevel="0" collapsed="false">
      <c r="B11" s="217"/>
      <c r="C11" s="218"/>
      <c r="D11" s="219"/>
    </row>
    <row r="12" customFormat="false" ht="15" hidden="false" customHeight="true" outlineLevel="0" collapsed="false">
      <c r="B12" s="217"/>
      <c r="C12" s="218"/>
      <c r="D12" s="219"/>
    </row>
    <row r="13" customFormat="false" ht="45" hidden="false" customHeight="true" outlineLevel="0" collapsed="false">
      <c r="B13" s="220" t="s">
        <v>445</v>
      </c>
      <c r="C13" s="220"/>
      <c r="D13" s="220"/>
      <c r="E13" s="220"/>
      <c r="F13" s="220"/>
      <c r="G13" s="220"/>
    </row>
    <row r="14" customFormat="false" ht="19.5" hidden="false" customHeight="true" outlineLevel="0" collapsed="false">
      <c r="B14" s="221" t="s">
        <v>446</v>
      </c>
      <c r="C14" s="222" t="s">
        <v>447</v>
      </c>
      <c r="D14" s="223" t="s">
        <v>448</v>
      </c>
      <c r="E14" s="157" t="s">
        <v>449</v>
      </c>
      <c r="F14" s="157" t="s">
        <v>450</v>
      </c>
    </row>
    <row r="15" customFormat="false" ht="45" hidden="false" customHeight="true" outlineLevel="0" collapsed="false">
      <c r="B15" s="220" t="s">
        <v>445</v>
      </c>
      <c r="C15" s="220"/>
      <c r="D15" s="220"/>
      <c r="E15" s="220"/>
      <c r="F15" s="220"/>
    </row>
    <row r="16" customFormat="false" ht="15" hidden="false" customHeight="true" outlineLevel="0" collapsed="false">
      <c r="B16" s="217" t="s">
        <v>451</v>
      </c>
      <c r="C16" s="218" t="n">
        <v>24031.7</v>
      </c>
      <c r="D16" s="224"/>
      <c r="E16" s="225" t="s">
        <v>168</v>
      </c>
      <c r="F16" s="225" t="s">
        <v>168</v>
      </c>
      <c r="G16" s="226"/>
    </row>
    <row r="17" customFormat="false" ht="15" hidden="false" customHeight="true" outlineLevel="0" collapsed="false">
      <c r="B17" s="217" t="s">
        <v>452</v>
      </c>
      <c r="C17" s="218" t="n">
        <v>23719.3</v>
      </c>
      <c r="D17" s="224"/>
      <c r="E17" s="227" t="n">
        <f aca="false">C17/C16-1</f>
        <v>-0.0129994964983752</v>
      </c>
      <c r="F17" s="227" t="e">
        <f aca="false">D17/D16-1</f>
        <v>#DIV/0!</v>
      </c>
    </row>
    <row r="18" customFormat="false" ht="15" hidden="false" customHeight="true" outlineLevel="0" collapsed="false">
      <c r="B18" s="228" t="n">
        <v>46300</v>
      </c>
      <c r="C18" s="218" t="n">
        <v>23643.5</v>
      </c>
      <c r="D18" s="224"/>
      <c r="E18" s="227" t="n">
        <f aca="false">C18/C17-1</f>
        <v>-0.00319570982280248</v>
      </c>
      <c r="F18" s="227" t="e">
        <f aca="false">D18/D17-1</f>
        <v>#DIV/0!</v>
      </c>
    </row>
    <row r="19" customFormat="false" ht="15" hidden="false" customHeight="true" outlineLevel="0" collapsed="false">
      <c r="B19" s="228" t="n">
        <v>46086</v>
      </c>
      <c r="C19" s="218" t="n">
        <v>24176.15</v>
      </c>
      <c r="D19" s="224"/>
      <c r="E19" s="227" t="n">
        <f aca="false">C19/C18-1</f>
        <v>0.0225283904667246</v>
      </c>
      <c r="F19" s="227" t="e">
        <f aca="false">D19/D18-1</f>
        <v>#DIV/0!</v>
      </c>
    </row>
    <row r="20" customFormat="false" ht="15" hidden="false" customHeight="true" outlineLevel="0" collapsed="false">
      <c r="B20" s="217" t="s">
        <v>453</v>
      </c>
      <c r="C20" s="218" t="n">
        <v>23997.55</v>
      </c>
      <c r="D20" s="224"/>
      <c r="E20" s="227" t="n">
        <f aca="false">C20/C19-1</f>
        <v>-0.00738744589192253</v>
      </c>
      <c r="F20" s="227" t="e">
        <f aca="false">D20/D19-1</f>
        <v>#DIV/0!</v>
      </c>
    </row>
    <row r="21" customFormat="false" ht="15" hidden="false" customHeight="true" outlineLevel="0" collapsed="false">
      <c r="B21" s="217" t="s">
        <v>454</v>
      </c>
      <c r="C21" s="218" t="n">
        <v>23897.95</v>
      </c>
      <c r="D21" s="224"/>
      <c r="E21" s="227" t="n">
        <f aca="false">C21/C20-1</f>
        <v>-0.00415042368908491</v>
      </c>
      <c r="F21" s="227" t="e">
        <f aca="false">D21/D20-1</f>
        <v>#DIV/0!</v>
      </c>
    </row>
    <row r="22" customFormat="false" ht="15" hidden="false" customHeight="true" outlineLevel="0" collapsed="false">
      <c r="B22" s="228" t="n">
        <v>46360</v>
      </c>
      <c r="C22" s="218" t="n">
        <v>24353.55</v>
      </c>
      <c r="D22" s="224"/>
      <c r="E22" s="227" t="n">
        <f aca="false">C22/C21-1</f>
        <v>0.0190643967369586</v>
      </c>
      <c r="F22" s="227" t="e">
        <f aca="false">D22/D21-1</f>
        <v>#DIV/0!</v>
      </c>
    </row>
    <row r="23" customFormat="false" ht="15" hidden="false" customHeight="true" outlineLevel="0" collapsed="false">
      <c r="B23" s="228" t="n">
        <v>46146</v>
      </c>
      <c r="C23" s="218" t="n">
        <v>24050.6</v>
      </c>
      <c r="D23" s="224"/>
      <c r="E23" s="227" t="n">
        <f aca="false">C23/C22-1</f>
        <v>-0.0124396648537893</v>
      </c>
      <c r="F23" s="227" t="e">
        <f aca="false">D23/D22-1</f>
        <v>#DIV/0!</v>
      </c>
    </row>
    <row r="24" customFormat="false" ht="15" hidden="false" customHeight="true" outlineLevel="0" collapsed="false">
      <c r="B24" s="217" t="s">
        <v>455</v>
      </c>
      <c r="C24" s="218" t="n">
        <v>22713.1</v>
      </c>
      <c r="D24" s="224"/>
      <c r="E24" s="227" t="n">
        <f aca="false">C24/C23-1</f>
        <v>-0.0556119182057828</v>
      </c>
      <c r="F24" s="227" t="e">
        <f aca="false">D24/D23-1</f>
        <v>#DIV/0!</v>
      </c>
    </row>
    <row r="25" customFormat="false" ht="15" hidden="false" customHeight="true" outlineLevel="0" collapsed="false">
      <c r="B25" s="217" t="s">
        <v>456</v>
      </c>
      <c r="C25" s="218" t="n">
        <v>22819.6</v>
      </c>
      <c r="D25" s="224"/>
      <c r="E25" s="227" t="n">
        <f aca="false">C25/C24-1</f>
        <v>0.00468892401301457</v>
      </c>
      <c r="F25" s="227" t="e">
        <f aca="false">D25/D24-1</f>
        <v>#DIV/0!</v>
      </c>
    </row>
    <row r="26" customFormat="false" ht="15" hidden="false" customHeight="true" outlineLevel="0" collapsed="false">
      <c r="B26" s="217" t="s">
        <v>457</v>
      </c>
      <c r="C26" s="218" t="n">
        <v>23114.5</v>
      </c>
      <c r="D26" s="224"/>
      <c r="E26" s="227" t="n">
        <f aca="false">C26/C25-1</f>
        <v>0.0129231011937108</v>
      </c>
      <c r="F26" s="227" t="e">
        <f aca="false">D26/D25-1</f>
        <v>#DIV/0!</v>
      </c>
    </row>
    <row r="27" customFormat="false" ht="15" hidden="false" customHeight="true" outlineLevel="0" collapsed="false">
      <c r="B27" s="228" t="n">
        <v>46237</v>
      </c>
      <c r="C27" s="218" t="n">
        <v>23151.1</v>
      </c>
      <c r="D27" s="224"/>
      <c r="E27" s="227" t="n">
        <f aca="false">C27/C26-1</f>
        <v>0.00158342166172742</v>
      </c>
      <c r="F27" s="227" t="e">
        <f aca="false">D27/D26-1</f>
        <v>#DIV/0!</v>
      </c>
    </row>
    <row r="28" customFormat="false" ht="15" hidden="false" customHeight="true" outlineLevel="0" collapsed="false">
      <c r="B28" s="228" t="n">
        <v>46025</v>
      </c>
      <c r="C28" s="218" t="n">
        <v>24450.45</v>
      </c>
      <c r="D28" s="224"/>
      <c r="E28" s="227" t="n">
        <f aca="false">C28/C27-1</f>
        <v>0.0561247629702262</v>
      </c>
      <c r="F28" s="227" t="e">
        <f aca="false">D28/D27-1</f>
        <v>#DIV/0!</v>
      </c>
    </row>
    <row r="29" customFormat="false" ht="15" hidden="false" customHeight="true" outlineLevel="0" collapsed="false">
      <c r="B29" s="217" t="s">
        <v>458</v>
      </c>
      <c r="C29" s="218" t="n">
        <v>25178.65</v>
      </c>
      <c r="D29" s="224"/>
      <c r="E29" s="227" t="n">
        <f aca="false">C29/C28-1</f>
        <v>0.0297826829363059</v>
      </c>
      <c r="F29" s="227" t="e">
        <f aca="false">D29/D28-1</f>
        <v>#DIV/0!</v>
      </c>
    </row>
    <row r="30" customFormat="false" ht="15" hidden="false" customHeight="true" outlineLevel="0" collapsed="false">
      <c r="B30" s="217" t="s">
        <v>459</v>
      </c>
      <c r="C30" s="218" t="n">
        <v>25571.25</v>
      </c>
      <c r="D30" s="224"/>
      <c r="E30" s="227" t="n">
        <f aca="false">C30/C29-1</f>
        <v>0.0155925754557928</v>
      </c>
      <c r="F30" s="227" t="e">
        <f aca="false">D30/D29-1</f>
        <v>#DIV/0!</v>
      </c>
    </row>
    <row r="31" customFormat="false" ht="15" hidden="false" customHeight="true" outlineLevel="0" collapsed="false">
      <c r="B31" s="228" t="n">
        <v>46236</v>
      </c>
      <c r="C31" s="218" t="n">
        <v>25471.1</v>
      </c>
      <c r="D31" s="224"/>
      <c r="E31" s="227" t="n">
        <f aca="false">C31/C30-1</f>
        <v>-0.00391650779684216</v>
      </c>
      <c r="F31" s="227" t="e">
        <f aca="false">D31/D30-1</f>
        <v>#DIV/0!</v>
      </c>
    </row>
    <row r="32" customFormat="false" ht="15" hidden="false" customHeight="true" outlineLevel="0" collapsed="false">
      <c r="B32" s="228" t="n">
        <v>46024</v>
      </c>
      <c r="C32" s="218" t="n">
        <v>25693.7</v>
      </c>
      <c r="D32" s="224"/>
      <c r="E32" s="227" t="n">
        <f aca="false">C32/C31-1</f>
        <v>0.00873931632320568</v>
      </c>
      <c r="F32" s="227" t="e">
        <f aca="false">D32/D31-1</f>
        <v>#DIV/0!</v>
      </c>
    </row>
    <row r="33" customFormat="false" ht="15" hidden="false" customHeight="true" outlineLevel="0" collapsed="false">
      <c r="B33" s="217" t="s">
        <v>460</v>
      </c>
      <c r="C33" s="218" t="n">
        <v>25320.65</v>
      </c>
      <c r="D33" s="224"/>
      <c r="E33" s="227" t="n">
        <f aca="false">C33/C32-1</f>
        <v>-0.0145191233648715</v>
      </c>
      <c r="F33" s="227" t="e">
        <f aca="false">D33/D32-1</f>
        <v>#DIV/0!</v>
      </c>
    </row>
    <row r="34" customFormat="false" ht="15" hidden="false" customHeight="true" outlineLevel="0" collapsed="false">
      <c r="B34" s="217" t="s">
        <v>461</v>
      </c>
      <c r="C34" s="218" t="n">
        <v>25048.65</v>
      </c>
      <c r="D34" s="224"/>
      <c r="E34" s="227" t="n">
        <f aca="false">C34/C33-1</f>
        <v>-0.0107422202826547</v>
      </c>
      <c r="F34" s="227" t="e">
        <f aca="false">D34/D33-1</f>
        <v>#DIV/0!</v>
      </c>
    </row>
    <row r="35" customFormat="false" ht="15" hidden="false" customHeight="true" outlineLevel="0" collapsed="false">
      <c r="B35" s="228" t="n">
        <v>46327</v>
      </c>
      <c r="C35" s="218" t="n">
        <v>25694.35</v>
      </c>
      <c r="D35" s="224"/>
      <c r="E35" s="227" t="n">
        <f aca="false">C35/C34-1</f>
        <v>0.0257778363305008</v>
      </c>
      <c r="F35" s="227" t="e">
        <f aca="false">D35/D34-1</f>
        <v>#DIV/0!</v>
      </c>
    </row>
    <row r="36" customFormat="false" ht="15" hidden="false" customHeight="true" outlineLevel="0" collapsed="false">
      <c r="B36" s="228" t="n">
        <v>46113</v>
      </c>
      <c r="C36" s="218" t="n">
        <v>25683.3</v>
      </c>
      <c r="D36" s="224"/>
      <c r="E36" s="227" t="n">
        <f aca="false">C36/C35-1</f>
        <v>-0.000430055634799031</v>
      </c>
      <c r="F36" s="227" t="e">
        <f aca="false">D36/D35-1</f>
        <v>#DIV/0!</v>
      </c>
    </row>
    <row r="37" customFormat="false" ht="15" hidden="false" customHeight="true" outlineLevel="0" collapsed="false">
      <c r="B37" s="217" t="s">
        <v>462</v>
      </c>
      <c r="C37" s="218" t="n">
        <v>26328.55</v>
      </c>
      <c r="D37" s="224"/>
      <c r="E37" s="227" t="n">
        <f aca="false">C37/C36-1</f>
        <v>0.0251233291672019</v>
      </c>
      <c r="F37" s="227" t="e">
        <f aca="false">D37/D36-1</f>
        <v>#DIV/0!</v>
      </c>
    </row>
    <row r="38" customFormat="false" ht="15" hidden="false" customHeight="true" outlineLevel="0" collapsed="false">
      <c r="B38" s="217" t="s">
        <v>463</v>
      </c>
      <c r="C38" s="218" t="n">
        <v>26042.3</v>
      </c>
      <c r="D38" s="224"/>
      <c r="E38" s="227" t="n">
        <f aca="false">C38/C37-1</f>
        <v>-0.0108722280566154</v>
      </c>
      <c r="F38" s="227" t="e">
        <f aca="false">D38/D37-1</f>
        <v>#DIV/0!</v>
      </c>
    </row>
    <row r="39" customFormat="false" ht="15" hidden="false" customHeight="true" outlineLevel="0" collapsed="false">
      <c r="B39" s="217" t="s">
        <v>464</v>
      </c>
      <c r="C39" s="218" t="n">
        <v>25966.4</v>
      </c>
      <c r="D39" s="224"/>
      <c r="E39" s="227" t="n">
        <f aca="false">C39/C38-1</f>
        <v>-0.00291448911962455</v>
      </c>
      <c r="F39" s="227" t="e">
        <f aca="false">D39/D38-1</f>
        <v>#DIV/0!</v>
      </c>
    </row>
    <row r="40" customFormat="false" ht="15" hidden="false" customHeight="true" outlineLevel="0" collapsed="false">
      <c r="B40" s="228" t="n">
        <v>45850</v>
      </c>
      <c r="C40" s="218" t="n">
        <v>26046.95</v>
      </c>
      <c r="D40" s="224"/>
      <c r="E40" s="227" t="n">
        <f aca="false">C40/C39-1</f>
        <v>0.00310208577238269</v>
      </c>
      <c r="F40" s="227" t="e">
        <f aca="false">D40/D39-1</f>
        <v>#DIV/0!</v>
      </c>
    </row>
    <row r="41" customFormat="false" ht="15" hidden="false" customHeight="true" outlineLevel="0" collapsed="false">
      <c r="B41" s="217" t="s">
        <v>465</v>
      </c>
      <c r="C41" s="218" t="n">
        <v>26186.45</v>
      </c>
      <c r="D41" s="224"/>
      <c r="E41" s="227" t="n">
        <f aca="false">C41/C40-1</f>
        <v>0.00535571343285879</v>
      </c>
      <c r="F41" s="227" t="e">
        <f aca="false">D41/D40-1</f>
        <v>#DIV/0!</v>
      </c>
    </row>
    <row r="42" customFormat="false" ht="15" hidden="false" customHeight="true" outlineLevel="0" collapsed="false">
      <c r="B42" s="217" t="s">
        <v>466</v>
      </c>
      <c r="C42" s="218" t="n">
        <v>26202.95</v>
      </c>
      <c r="D42" s="224"/>
      <c r="E42" s="227" t="n">
        <f aca="false">C42/C41-1</f>
        <v>0.00063009686307236</v>
      </c>
      <c r="F42" s="227" t="e">
        <f aca="false">D42/D41-1</f>
        <v>#DIV/0!</v>
      </c>
    </row>
    <row r="43" customFormat="false" ht="15" hidden="false" customHeight="true" outlineLevel="0" collapsed="false">
      <c r="B43" s="217" t="s">
        <v>467</v>
      </c>
      <c r="C43" s="218" t="n">
        <v>26068.15</v>
      </c>
      <c r="D43" s="224"/>
      <c r="E43" s="227" t="n">
        <f aca="false">C43/C42-1</f>
        <v>-0.00514445892542625</v>
      </c>
      <c r="F43" s="227" t="e">
        <f aca="false">D43/D42-1</f>
        <v>#DIV/0!</v>
      </c>
    </row>
    <row r="44" customFormat="false" ht="15" hidden="false" customHeight="true" outlineLevel="0" collapsed="false">
      <c r="B44" s="228" t="n">
        <v>45911</v>
      </c>
      <c r="C44" s="218" t="n">
        <v>25910.05</v>
      </c>
      <c r="D44" s="224"/>
      <c r="E44" s="227" t="n">
        <f aca="false">C44/C43-1</f>
        <v>-0.00606487226749897</v>
      </c>
      <c r="F44" s="227" t="e">
        <f aca="false">D44/D43-1</f>
        <v>#DIV/0!</v>
      </c>
    </row>
    <row r="45" customFormat="false" ht="15" hidden="false" customHeight="true" outlineLevel="0" collapsed="false">
      <c r="B45" s="228" t="n">
        <v>45699</v>
      </c>
      <c r="C45" s="218" t="n">
        <v>25492.3</v>
      </c>
      <c r="D45" s="224"/>
      <c r="E45" s="227" t="n">
        <f aca="false">C45/C44-1</f>
        <v>-0.0161230873734323</v>
      </c>
      <c r="F45" s="227" t="e">
        <f aca="false">D45/D44-1</f>
        <v>#DIV/0!</v>
      </c>
    </row>
    <row r="46" customFormat="false" ht="15" hidden="false" customHeight="true" outlineLevel="0" collapsed="false">
      <c r="B46" s="217" t="s">
        <v>468</v>
      </c>
      <c r="C46" s="218" t="n">
        <v>25722.1</v>
      </c>
      <c r="D46" s="224"/>
      <c r="E46" s="227" t="n">
        <f aca="false">C46/C45-1</f>
        <v>0.00901448672736471</v>
      </c>
      <c r="F46" s="227" t="e">
        <f aca="false">D46/D45-1</f>
        <v>#DIV/0!</v>
      </c>
    </row>
    <row r="47" customFormat="false" ht="15" hidden="false" customHeight="true" outlineLevel="0" collapsed="false">
      <c r="B47" s="217" t="s">
        <v>469</v>
      </c>
      <c r="C47" s="218" t="n">
        <v>25795.15</v>
      </c>
      <c r="D47" s="224"/>
      <c r="E47" s="227" t="n">
        <f aca="false">C47/C46-1</f>
        <v>0.00283997029791516</v>
      </c>
      <c r="F47" s="227" t="e">
        <f aca="false">D47/D46-1</f>
        <v>#DIV/0!</v>
      </c>
    </row>
    <row r="48" customFormat="false" ht="15" hidden="false" customHeight="true" outlineLevel="0" collapsed="false">
      <c r="B48" s="228" t="n">
        <v>46001</v>
      </c>
      <c r="C48" s="218" t="n">
        <v>25709.85</v>
      </c>
      <c r="D48" s="224"/>
      <c r="E48" s="227" t="n">
        <f aca="false">C48/C47-1</f>
        <v>-0.00330682318187736</v>
      </c>
      <c r="F48" s="227" t="e">
        <f aca="false">D48/D47-1</f>
        <v>#DIV/0!</v>
      </c>
    </row>
    <row r="49" customFormat="false" ht="15" hidden="false" customHeight="true" outlineLevel="0" collapsed="false">
      <c r="B49" s="228" t="n">
        <v>45787</v>
      </c>
      <c r="C49" s="218" t="n">
        <v>25285.35</v>
      </c>
      <c r="D49" s="224"/>
      <c r="E49" s="227" t="n">
        <f aca="false">C49/C48-1</f>
        <v>-0.0165111815121441</v>
      </c>
      <c r="F49" s="227" t="e">
        <f aca="false">D49/D48-1</f>
        <v>#DIV/0!</v>
      </c>
    </row>
    <row r="50" customFormat="false" ht="15" hidden="false" customHeight="true" outlineLevel="0" collapsed="false">
      <c r="B50" s="217" t="s">
        <v>470</v>
      </c>
      <c r="C50" s="218" t="n">
        <v>24894.25</v>
      </c>
      <c r="D50" s="224"/>
      <c r="E50" s="227" t="n">
        <f aca="false">C50/C49-1</f>
        <v>-0.0154674544746266</v>
      </c>
      <c r="F50" s="227" t="e">
        <f aca="false">D50/D49-1</f>
        <v>#DIV/0!</v>
      </c>
    </row>
    <row r="51" customFormat="false" ht="15" hidden="false" customHeight="true" outlineLevel="0" collapsed="false">
      <c r="B51" s="217" t="s">
        <v>471</v>
      </c>
      <c r="C51" s="218" t="n">
        <v>24654.7</v>
      </c>
      <c r="D51" s="224"/>
      <c r="E51" s="227" t="n">
        <f aca="false">C51/C50-1</f>
        <v>-0.00962270403808108</v>
      </c>
      <c r="F51" s="227" t="e">
        <f aca="false">D51/D50-1</f>
        <v>#DIV/0!</v>
      </c>
    </row>
    <row r="52" customFormat="false" ht="15" hidden="false" customHeight="true" outlineLevel="0" collapsed="false">
      <c r="B52" s="217" t="s">
        <v>472</v>
      </c>
      <c r="C52" s="218" t="n">
        <v>25327.05</v>
      </c>
      <c r="D52" s="224"/>
      <c r="E52" s="227" t="n">
        <f aca="false">C52/C51-1</f>
        <v>0.0272706623889156</v>
      </c>
      <c r="F52" s="227" t="e">
        <f aca="false">D52/D51-1</f>
        <v>#DIV/0!</v>
      </c>
    </row>
    <row r="53" customFormat="false" ht="15" hidden="false" customHeight="true" outlineLevel="0" collapsed="false">
      <c r="B53" s="228" t="n">
        <v>45847</v>
      </c>
      <c r="C53" s="218" t="n">
        <v>25114</v>
      </c>
      <c r="D53" s="224"/>
      <c r="E53" s="227" t="n">
        <f aca="false">C53/C52-1</f>
        <v>-0.00841195480721202</v>
      </c>
      <c r="F53" s="227" t="e">
        <f aca="false">D53/D52-1</f>
        <v>#DIV/0!</v>
      </c>
    </row>
    <row r="54" customFormat="false" ht="15" hidden="false" customHeight="true" outlineLevel="0" collapsed="false">
      <c r="B54" s="217" t="s">
        <v>473</v>
      </c>
      <c r="C54" s="218" t="n">
        <v>24741</v>
      </c>
      <c r="D54" s="224"/>
      <c r="E54" s="227" t="n">
        <f aca="false">C54/C53-1</f>
        <v>-0.014852273632237</v>
      </c>
      <c r="F54" s="227" t="e">
        <f aca="false">D54/D53-1</f>
        <v>#DIV/0!</v>
      </c>
    </row>
    <row r="55" customFormat="false" ht="15" hidden="false" customHeight="true" outlineLevel="0" collapsed="false">
      <c r="B55" s="217" t="s">
        <v>474</v>
      </c>
      <c r="C55" s="218" t="n">
        <v>24426.85</v>
      </c>
      <c r="D55" s="224"/>
      <c r="E55" s="227" t="n">
        <f aca="false">C55/C54-1</f>
        <v>-0.0126975465825957</v>
      </c>
      <c r="F55" s="227" t="e">
        <f aca="false">D55/D54-1</f>
        <v>#DIV/0!</v>
      </c>
    </row>
    <row r="56" customFormat="false" ht="15" hidden="false" customHeight="true" outlineLevel="0" collapsed="false">
      <c r="B56" s="217" t="s">
        <v>475</v>
      </c>
      <c r="C56" s="218" t="n">
        <v>24870.1</v>
      </c>
      <c r="D56" s="224"/>
      <c r="E56" s="227" t="n">
        <f aca="false">C56/C55-1</f>
        <v>0.0181460155525579</v>
      </c>
      <c r="F56" s="227" t="e">
        <f aca="false">D56/D55-1</f>
        <v>#DIV/0!</v>
      </c>
    </row>
    <row r="57" customFormat="false" ht="15" hidden="false" customHeight="true" outlineLevel="0" collapsed="false">
      <c r="B57" s="228" t="n">
        <v>45938</v>
      </c>
      <c r="C57" s="218" t="n">
        <v>24631.3</v>
      </c>
      <c r="D57" s="224"/>
      <c r="E57" s="227" t="n">
        <f aca="false">C57/C56-1</f>
        <v>-0.00960189142785917</v>
      </c>
      <c r="F57" s="227" t="e">
        <f aca="false">D57/D56-1</f>
        <v>#DIV/0!</v>
      </c>
    </row>
    <row r="58" customFormat="false" ht="15" hidden="false" customHeight="true" outlineLevel="0" collapsed="false">
      <c r="B58" s="228" t="n">
        <v>45724</v>
      </c>
      <c r="C58" s="218" t="n">
        <v>24363.3</v>
      </c>
      <c r="D58" s="224"/>
      <c r="E58" s="227" t="n">
        <f aca="false">C58/C57-1</f>
        <v>-0.0108804650992842</v>
      </c>
      <c r="F58" s="227" t="e">
        <f aca="false">D58/D57-1</f>
        <v>#DIV/0!</v>
      </c>
    </row>
    <row r="59" customFormat="false" ht="15" hidden="false" customHeight="true" outlineLevel="0" collapsed="false">
      <c r="B59" s="217" t="s">
        <v>476</v>
      </c>
      <c r="C59" s="218" t="n">
        <v>24565.35</v>
      </c>
      <c r="D59" s="224"/>
      <c r="E59" s="227" t="n">
        <f aca="false">C59/C58-1</f>
        <v>0.00829321151075591</v>
      </c>
      <c r="F59" s="227" t="e">
        <f aca="false">D59/D58-1</f>
        <v>#DIV/0!</v>
      </c>
    </row>
    <row r="60" customFormat="false" ht="15" hidden="false" customHeight="true" outlineLevel="0" collapsed="false">
      <c r="B60" s="217" t="s">
        <v>477</v>
      </c>
      <c r="C60" s="218" t="n">
        <v>24837</v>
      </c>
      <c r="D60" s="224"/>
      <c r="E60" s="227" t="n">
        <f aca="false">C60/C59-1</f>
        <v>0.0110582588890451</v>
      </c>
      <c r="F60" s="227" t="e">
        <f aca="false">D60/D59-1</f>
        <v>#DIV/0!</v>
      </c>
    </row>
    <row r="61" customFormat="false" ht="15" hidden="false" customHeight="true" outlineLevel="0" collapsed="false">
      <c r="B61" s="217" t="s">
        <v>478</v>
      </c>
      <c r="C61" s="218" t="n">
        <v>24968.4</v>
      </c>
      <c r="D61" s="224"/>
      <c r="E61" s="227" t="n">
        <f aca="false">C61/C60-1</f>
        <v>0.005290494021017</v>
      </c>
      <c r="F61" s="227" t="e">
        <f aca="false">D61/D60-1</f>
        <v>#DIV/0!</v>
      </c>
    </row>
    <row r="62" customFormat="false" ht="15" hidden="false" customHeight="true" outlineLevel="0" collapsed="false">
      <c r="B62" s="228" t="n">
        <v>45815</v>
      </c>
      <c r="C62" s="218" t="n">
        <v>25149.85</v>
      </c>
      <c r="D62" s="224"/>
      <c r="E62" s="227" t="n">
        <f aca="false">C62/C61-1</f>
        <v>0.00726718572275353</v>
      </c>
      <c r="F62" s="227" t="e">
        <f aca="false">D62/D61-1</f>
        <v>#DIV/0!</v>
      </c>
    </row>
    <row r="63" customFormat="false" ht="15" hidden="false" customHeight="true" outlineLevel="0" collapsed="false">
      <c r="B63" s="217" t="s">
        <v>479</v>
      </c>
      <c r="C63" s="218" t="n">
        <v>25461</v>
      </c>
      <c r="D63" s="224"/>
      <c r="E63" s="227" t="n">
        <f aca="false">C63/C62-1</f>
        <v>0.012371843172027</v>
      </c>
      <c r="F63" s="227" t="e">
        <f aca="false">D63/D62-1</f>
        <v>#DIV/0!</v>
      </c>
    </row>
    <row r="64" customFormat="false" ht="15" hidden="false" customHeight="true" outlineLevel="0" collapsed="false">
      <c r="B64" s="217" t="s">
        <v>480</v>
      </c>
      <c r="C64" s="218" t="n">
        <v>25637.8</v>
      </c>
      <c r="D64" s="224"/>
      <c r="E64" s="227" t="n">
        <f aca="false">C64/C63-1</f>
        <v>0.00694395349750598</v>
      </c>
      <c r="F64" s="227" t="e">
        <f aca="false">D64/D63-1</f>
        <v>#DIV/0!</v>
      </c>
    </row>
    <row r="65" customFormat="false" ht="15" hidden="false" customHeight="true" outlineLevel="0" collapsed="false">
      <c r="B65" s="217" t="s">
        <v>481</v>
      </c>
      <c r="C65" s="218" t="n">
        <v>25112.4</v>
      </c>
      <c r="D65" s="224"/>
      <c r="E65" s="227" t="n">
        <f aca="false">C65/C64-1</f>
        <v>-0.0204931780417976</v>
      </c>
      <c r="F65" s="227" t="e">
        <f aca="false">D65/D64-1</f>
        <v>#DIV/0!</v>
      </c>
    </row>
    <row r="66" customFormat="false" ht="15" hidden="false" customHeight="true" outlineLevel="0" collapsed="false">
      <c r="B66" s="228" t="n">
        <v>45875</v>
      </c>
      <c r="C66" s="218" t="n">
        <v>24718.6</v>
      </c>
      <c r="D66" s="224"/>
      <c r="E66" s="227" t="n">
        <f aca="false">C66/C65-1</f>
        <v>-0.015681495994011</v>
      </c>
      <c r="F66" s="227" t="e">
        <f aca="false">D66/D65-1</f>
        <v>#DIV/0!</v>
      </c>
    </row>
    <row r="67" customFormat="false" ht="15" hidden="false" customHeight="true" outlineLevel="0" collapsed="false">
      <c r="B67" s="228" t="n">
        <v>45663</v>
      </c>
      <c r="C67" s="218" t="n">
        <v>25003.05</v>
      </c>
      <c r="D67" s="224"/>
      <c r="E67" s="227" t="n">
        <f aca="false">C67/C66-1</f>
        <v>0.0115075287435373</v>
      </c>
      <c r="F67" s="227" t="e">
        <f aca="false">D67/D66-1</f>
        <v>#DIV/0!</v>
      </c>
    </row>
    <row r="68" customFormat="false" ht="15" hidden="false" customHeight="true" outlineLevel="0" collapsed="false">
      <c r="B68" s="217" t="s">
        <v>482</v>
      </c>
      <c r="C68" s="218" t="n">
        <v>24750.7</v>
      </c>
      <c r="D68" s="224"/>
      <c r="E68" s="227" t="n">
        <f aca="false">C68/C67-1</f>
        <v>-0.0100927686822208</v>
      </c>
      <c r="F68" s="227" t="e">
        <f aca="false">D68/D67-1</f>
        <v>#DIV/0!</v>
      </c>
    </row>
    <row r="69" customFormat="false" ht="15" hidden="false" customHeight="true" outlineLevel="0" collapsed="false">
      <c r="B69" s="217" t="s">
        <v>483</v>
      </c>
      <c r="C69" s="218" t="n">
        <v>24853.15</v>
      </c>
      <c r="D69" s="224"/>
      <c r="E69" s="227" t="n">
        <f aca="false">C69/C68-1</f>
        <v>0.004139276868937</v>
      </c>
      <c r="F69" s="227" t="e">
        <f aca="false">D69/D68-1</f>
        <v>#DIV/0!</v>
      </c>
    </row>
    <row r="70" customFormat="false" ht="15" hidden="false" customHeight="true" outlineLevel="0" collapsed="false">
      <c r="B70" s="228" t="n">
        <v>45966</v>
      </c>
      <c r="C70" s="218" t="n">
        <v>25019.8</v>
      </c>
      <c r="D70" s="224"/>
      <c r="E70" s="227" t="n">
        <f aca="false">C70/C69-1</f>
        <v>0.00670538744585691</v>
      </c>
      <c r="F70" s="227" t="e">
        <f aca="false">D70/D69-1</f>
        <v>#DIV/0!</v>
      </c>
    </row>
    <row r="71" customFormat="false" ht="15" hidden="false" customHeight="true" outlineLevel="0" collapsed="false">
      <c r="B71" s="228" t="n">
        <v>45752</v>
      </c>
      <c r="C71" s="218" t="n">
        <v>24008</v>
      </c>
      <c r="D71" s="224"/>
      <c r="E71" s="227" t="n">
        <f aca="false">C71/C70-1</f>
        <v>-0.0404399715425383</v>
      </c>
      <c r="F71" s="227" t="e">
        <f aca="false">D71/D70-1</f>
        <v>#DIV/0!</v>
      </c>
    </row>
    <row r="72" customFormat="false" ht="15" hidden="false" customHeight="true" outlineLevel="0" collapsed="false">
      <c r="B72" s="217" t="s">
        <v>484</v>
      </c>
      <c r="C72" s="218" t="n">
        <v>24346.7</v>
      </c>
      <c r="D72" s="224"/>
      <c r="E72" s="227" t="n">
        <f aca="false">C72/C71-1</f>
        <v>0.0141077974008663</v>
      </c>
      <c r="F72" s="227" t="e">
        <f aca="false">D72/D71-1</f>
        <v>#DIV/0!</v>
      </c>
    </row>
    <row r="73" customFormat="false" ht="15" hidden="false" customHeight="true" outlineLevel="0" collapsed="false">
      <c r="B73" s="217" t="s">
        <v>485</v>
      </c>
      <c r="C73" s="218" t="n">
        <v>24039.35</v>
      </c>
      <c r="D73" s="224"/>
      <c r="E73" s="227" t="n">
        <f aca="false">C73/C72-1</f>
        <v>-0.0126238874262221</v>
      </c>
      <c r="F73" s="227" t="e">
        <f aca="false">D73/D72-1</f>
        <v>#DIV/0!</v>
      </c>
    </row>
    <row r="74" customFormat="false" ht="15" hidden="false" customHeight="true" outlineLevel="0" collapsed="false">
      <c r="B74" s="217" t="s">
        <v>486</v>
      </c>
      <c r="C74" s="218" t="n">
        <v>23851.65</v>
      </c>
      <c r="D74" s="224"/>
      <c r="E74" s="227" t="n">
        <f aca="false">C74/C73-1</f>
        <v>-0.00780803141515873</v>
      </c>
      <c r="F74" s="227" t="e">
        <f aca="false">D74/D73-1</f>
        <v>#DIV/0!</v>
      </c>
    </row>
    <row r="75" customFormat="false" ht="15" hidden="false" customHeight="true" outlineLevel="0" collapsed="false">
      <c r="B75" s="228" t="n">
        <v>45812</v>
      </c>
      <c r="C75" s="218" t="n">
        <v>22828.55</v>
      </c>
      <c r="D75" s="224"/>
      <c r="E75" s="227" t="n">
        <f aca="false">C75/C74-1</f>
        <v>-0.0428943071024437</v>
      </c>
      <c r="F75" s="227" t="e">
        <f aca="false">D75/D74-1</f>
        <v>#DIV/0!</v>
      </c>
    </row>
    <row r="76" customFormat="false" ht="15" hidden="false" customHeight="true" outlineLevel="0" collapsed="false">
      <c r="B76" s="217" t="s">
        <v>487</v>
      </c>
      <c r="C76" s="218" t="n">
        <v>22904.45</v>
      </c>
      <c r="D76" s="224"/>
      <c r="E76" s="227" t="n">
        <f aca="false">C76/C75-1</f>
        <v>0.00332478409710646</v>
      </c>
      <c r="F76" s="227" t="e">
        <f aca="false">D76/D75-1</f>
        <v>#DIV/0!</v>
      </c>
    </row>
    <row r="77" customFormat="false" ht="15" hidden="false" customHeight="true" outlineLevel="0" collapsed="false">
      <c r="B77" s="217" t="s">
        <v>488</v>
      </c>
      <c r="C77" s="218" t="n">
        <v>23519.35</v>
      </c>
      <c r="D77" s="224"/>
      <c r="E77" s="227" t="n">
        <f aca="false">C77/C76-1</f>
        <v>0.0268463115246163</v>
      </c>
      <c r="F77" s="227" t="e">
        <f aca="false">D77/D76-1</f>
        <v>#DIV/0!</v>
      </c>
    </row>
    <row r="78" customFormat="false" ht="15" hidden="false" customHeight="true" outlineLevel="0" collapsed="false">
      <c r="B78" s="217" t="s">
        <v>489</v>
      </c>
      <c r="C78" s="218" t="n">
        <v>23350.4</v>
      </c>
      <c r="D78" s="224"/>
      <c r="E78" s="227" t="n">
        <f aca="false">C78/C77-1</f>
        <v>-0.00718344682144689</v>
      </c>
      <c r="F78" s="227" t="e">
        <f aca="false">D78/D77-1</f>
        <v>#DIV/0!</v>
      </c>
    </row>
    <row r="79" customFormat="false" ht="15" hidden="false" customHeight="true" outlineLevel="0" collapsed="false">
      <c r="B79" s="228" t="n">
        <v>45903</v>
      </c>
      <c r="C79" s="218" t="n">
        <v>22397.2</v>
      </c>
      <c r="D79" s="224"/>
      <c r="E79" s="227" t="n">
        <f aca="false">C79/C78-1</f>
        <v>-0.0408215705084282</v>
      </c>
      <c r="F79" s="227" t="e">
        <f aca="false">D79/D78-1</f>
        <v>#DIV/0!</v>
      </c>
    </row>
    <row r="80" customFormat="false" ht="15" hidden="false" customHeight="true" outlineLevel="0" collapsed="false">
      <c r="B80" s="228" t="n">
        <v>45691</v>
      </c>
      <c r="C80" s="218" t="n">
        <v>22552.5</v>
      </c>
      <c r="D80" s="224"/>
      <c r="E80" s="227" t="n">
        <f aca="false">C80/C79-1</f>
        <v>0.00693390245209224</v>
      </c>
      <c r="F80" s="227" t="e">
        <f aca="false">D80/D79-1</f>
        <v>#DIV/0!</v>
      </c>
    </row>
    <row r="81" customFormat="false" ht="15" hidden="false" customHeight="true" outlineLevel="0" collapsed="false">
      <c r="B81" s="217" t="s">
        <v>490</v>
      </c>
      <c r="C81" s="218" t="n">
        <v>22124.7</v>
      </c>
      <c r="D81" s="224"/>
      <c r="E81" s="227" t="n">
        <f aca="false">C81/C80-1</f>
        <v>-0.0189690721649485</v>
      </c>
      <c r="F81" s="227" t="e">
        <f aca="false">D81/D80-1</f>
        <v>#DIV/0!</v>
      </c>
    </row>
    <row r="82" customFormat="false" ht="15" hidden="false" customHeight="true" outlineLevel="0" collapsed="false">
      <c r="B82" s="217" t="s">
        <v>491</v>
      </c>
      <c r="C82" s="218" t="n">
        <v>22795.9</v>
      </c>
      <c r="D82" s="224"/>
      <c r="E82" s="227" t="n">
        <f aca="false">C82/C81-1</f>
        <v>0.0303371345148182</v>
      </c>
      <c r="F82" s="227" t="e">
        <f aca="false">D82/D81-1</f>
        <v>#DIV/0!</v>
      </c>
    </row>
    <row r="83" customFormat="false" ht="15" hidden="false" customHeight="true" outlineLevel="0" collapsed="false">
      <c r="B83" s="228" t="n">
        <v>45902</v>
      </c>
      <c r="C83" s="218" t="n">
        <v>22929.25</v>
      </c>
      <c r="D83" s="224"/>
      <c r="E83" s="227" t="n">
        <f aca="false">C83/C82-1</f>
        <v>0.00584973613676132</v>
      </c>
      <c r="F83" s="227" t="e">
        <f aca="false">D83/D82-1</f>
        <v>#DIV/0!</v>
      </c>
    </row>
    <row r="84" customFormat="false" ht="15" hidden="false" customHeight="true" outlineLevel="0" collapsed="false">
      <c r="B84" s="228" t="n">
        <v>45690</v>
      </c>
      <c r="C84" s="218" t="n">
        <v>23559.95</v>
      </c>
      <c r="D84" s="224"/>
      <c r="E84" s="227" t="n">
        <f aca="false">C84/C83-1</f>
        <v>0.0275063510581464</v>
      </c>
      <c r="F84" s="227" t="e">
        <f aca="false">D84/D83-1</f>
        <v>#DIV/0!</v>
      </c>
    </row>
    <row r="85" customFormat="false" ht="15" hidden="false" customHeight="true" outlineLevel="0" collapsed="false">
      <c r="B85" s="217" t="s">
        <v>492</v>
      </c>
      <c r="C85" s="218" t="n">
        <v>23508.4</v>
      </c>
      <c r="D85" s="224"/>
      <c r="E85" s="227" t="n">
        <f aca="false">C85/C84-1</f>
        <v>-0.00218803520380984</v>
      </c>
      <c r="F85" s="227" t="e">
        <f aca="false">D85/D84-1</f>
        <v>#DIV/0!</v>
      </c>
    </row>
    <row r="86" customFormat="false" ht="15" hidden="false" customHeight="true" outlineLevel="0" collapsed="false">
      <c r="B86" s="217" t="s">
        <v>493</v>
      </c>
      <c r="C86" s="218" t="n">
        <v>23092.2</v>
      </c>
      <c r="D86" s="224"/>
      <c r="E86" s="227" t="n">
        <f aca="false">C86/C85-1</f>
        <v>-0.0177043099487842</v>
      </c>
      <c r="F86" s="227" t="e">
        <f aca="false">D86/D85-1</f>
        <v>#DIV/0!</v>
      </c>
    </row>
    <row r="87" customFormat="false" ht="15" hidden="false" customHeight="true" outlineLevel="0" collapsed="false">
      <c r="B87" s="228" t="n">
        <v>45992</v>
      </c>
      <c r="C87" s="218" t="n">
        <v>23203.2</v>
      </c>
      <c r="D87" s="224"/>
      <c r="E87" s="227" t="n">
        <f aca="false">C87/C86-1</f>
        <v>0.00480681788655901</v>
      </c>
      <c r="F87" s="227" t="e">
        <f aca="false">D87/D86-1</f>
        <v>#DIV/0!</v>
      </c>
    </row>
    <row r="88" customFormat="false" ht="15" hidden="false" customHeight="true" outlineLevel="0" collapsed="false">
      <c r="B88" s="228" t="n">
        <v>45778</v>
      </c>
      <c r="C88" s="218" t="n">
        <v>23431.5</v>
      </c>
      <c r="D88" s="224"/>
      <c r="E88" s="227" t="n">
        <f aca="false">C88/C87-1</f>
        <v>0.00983916011584607</v>
      </c>
      <c r="F88" s="227" t="e">
        <f aca="false">D88/D87-1</f>
        <v>#DIV/0!</v>
      </c>
    </row>
    <row r="89" customFormat="false" ht="15" hidden="false" customHeight="true" outlineLevel="0" collapsed="false">
      <c r="B89" s="217" t="s">
        <v>494</v>
      </c>
      <c r="C89" s="218" t="n">
        <v>24004.75</v>
      </c>
      <c r="D89" s="224"/>
      <c r="E89" s="227" t="n">
        <f aca="false">C89/C88-1</f>
        <v>0.024464929688667</v>
      </c>
      <c r="F89" s="227" t="e">
        <f aca="false">D89/D88-1</f>
        <v>#DIV/0!</v>
      </c>
    </row>
    <row r="90" customFormat="false" ht="15" hidden="false" customHeight="true" outlineLevel="0" collapsed="false">
      <c r="B90" s="217" t="s">
        <v>495</v>
      </c>
      <c r="C90" s="218" t="n">
        <v>23813.4</v>
      </c>
      <c r="D90" s="224"/>
      <c r="E90" s="227" t="n">
        <f aca="false">C90/C89-1</f>
        <v>-0.0079713390058217</v>
      </c>
      <c r="F90" s="227" t="e">
        <f aca="false">D90/D89-1</f>
        <v>#DIV/0!</v>
      </c>
    </row>
    <row r="91" customFormat="false" ht="15" hidden="false" customHeight="true" outlineLevel="0" collapsed="false">
      <c r="B91" s="217" t="s">
        <v>496</v>
      </c>
      <c r="C91" s="218" t="n">
        <v>23587.5</v>
      </c>
      <c r="D91" s="224"/>
      <c r="E91" s="227" t="n">
        <f aca="false">C91/C90-1</f>
        <v>-0.00948625563758221</v>
      </c>
      <c r="F91" s="227" t="e">
        <f aca="false">D91/D90-1</f>
        <v>#DIV/0!</v>
      </c>
    </row>
    <row r="92" customFormat="false" ht="15" hidden="false" customHeight="true" outlineLevel="0" collapsed="false">
      <c r="B92" s="228" t="n">
        <v>45516</v>
      </c>
      <c r="C92" s="218" t="n">
        <v>24768.3</v>
      </c>
      <c r="D92" s="224"/>
      <c r="E92" s="227" t="n">
        <f aca="false">C92/C91-1</f>
        <v>0.050060413354531</v>
      </c>
      <c r="F92" s="227" t="e">
        <f aca="false">D92/D91-1</f>
        <v>#DIV/0!</v>
      </c>
    </row>
    <row r="93" customFormat="false" ht="15" hidden="false" customHeight="true" outlineLevel="0" collapsed="false">
      <c r="B93" s="228" t="n">
        <v>45303</v>
      </c>
      <c r="C93" s="218" t="n">
        <v>24677.8</v>
      </c>
      <c r="D93" s="224"/>
      <c r="E93" s="227" t="n">
        <f aca="false">C93/C92-1</f>
        <v>-0.00365386401166001</v>
      </c>
      <c r="F93" s="227" t="e">
        <f aca="false">D93/D92-1</f>
        <v>#DIV/0!</v>
      </c>
    </row>
    <row r="94" customFormat="false" ht="15" hidden="false" customHeight="true" outlineLevel="0" collapsed="false">
      <c r="B94" s="217" t="s">
        <v>497</v>
      </c>
      <c r="C94" s="218" t="n">
        <v>24131.1</v>
      </c>
      <c r="D94" s="224"/>
      <c r="E94" s="227" t="n">
        <f aca="false">C94/C93-1</f>
        <v>-0.0221535144948092</v>
      </c>
      <c r="F94" s="227" t="e">
        <f aca="false">D94/D93-1</f>
        <v>#DIV/0!</v>
      </c>
    </row>
    <row r="95" customFormat="false" ht="15" hidden="false" customHeight="true" outlineLevel="0" collapsed="false">
      <c r="B95" s="217" t="s">
        <v>498</v>
      </c>
      <c r="C95" s="218" t="n">
        <v>23907.25</v>
      </c>
      <c r="D95" s="224"/>
      <c r="E95" s="227" t="n">
        <f aca="false">C95/C94-1</f>
        <v>-0.00927641093858123</v>
      </c>
      <c r="F95" s="227" t="e">
        <f aca="false">D95/D94-1</f>
        <v>#DIV/0!</v>
      </c>
    </row>
    <row r="96" customFormat="false" ht="15" hidden="false" customHeight="true" outlineLevel="0" collapsed="false">
      <c r="B96" s="228" t="n">
        <v>45576</v>
      </c>
      <c r="C96" s="218" t="n">
        <v>23532.7</v>
      </c>
      <c r="D96" s="224"/>
      <c r="E96" s="227" t="n">
        <f aca="false">C96/C95-1</f>
        <v>-0.0156667956373067</v>
      </c>
      <c r="F96" s="227" t="e">
        <f aca="false">D96/D95-1</f>
        <v>#DIV/0!</v>
      </c>
    </row>
    <row r="97" customFormat="false" ht="15" hidden="false" customHeight="true" outlineLevel="0" collapsed="false">
      <c r="B97" s="228" t="n">
        <v>45362</v>
      </c>
      <c r="C97" s="218" t="n">
        <v>24148.2</v>
      </c>
      <c r="D97" s="224"/>
      <c r="E97" s="227" t="n">
        <f aca="false">C97/C96-1</f>
        <v>0.0261550948254981</v>
      </c>
      <c r="F97" s="227" t="e">
        <f aca="false">D97/D96-1</f>
        <v>#DIV/0!</v>
      </c>
    </row>
    <row r="98" customFormat="false" ht="15" hidden="false" customHeight="true" outlineLevel="0" collapsed="false">
      <c r="B98" s="217" t="s">
        <v>499</v>
      </c>
      <c r="C98" s="218" t="n">
        <v>24304.35</v>
      </c>
      <c r="D98" s="224"/>
      <c r="E98" s="227" t="n">
        <f aca="false">C98/C97-1</f>
        <v>0.00646632047109086</v>
      </c>
      <c r="F98" s="227" t="e">
        <f aca="false">D98/D97-1</f>
        <v>#DIV/0!</v>
      </c>
    </row>
    <row r="99" customFormat="false" ht="15" hidden="false" customHeight="true" outlineLevel="0" collapsed="false">
      <c r="B99" s="217" t="s">
        <v>500</v>
      </c>
      <c r="C99" s="218" t="n">
        <v>24180.8</v>
      </c>
      <c r="D99" s="224"/>
      <c r="E99" s="227" t="n">
        <f aca="false">C99/C98-1</f>
        <v>-0.00508345213922612</v>
      </c>
      <c r="F99" s="227" t="e">
        <f aca="false">D99/D98-1</f>
        <v>#DIV/0!</v>
      </c>
    </row>
    <row r="100" customFormat="false" ht="15" hidden="false" customHeight="true" outlineLevel="0" collapsed="false">
      <c r="B100" s="217" t="s">
        <v>501</v>
      </c>
      <c r="C100" s="218" t="n">
        <v>24854.05</v>
      </c>
      <c r="D100" s="224"/>
      <c r="E100" s="227" t="n">
        <f aca="false">C100/C99-1</f>
        <v>0.0278423377224906</v>
      </c>
      <c r="F100" s="227" t="e">
        <f aca="false">D100/D99-1</f>
        <v>#DIV/0!</v>
      </c>
    </row>
    <row r="101" customFormat="false" ht="15" hidden="false" customHeight="true" outlineLevel="0" collapsed="false">
      <c r="B101" s="228" t="n">
        <v>45453</v>
      </c>
      <c r="C101" s="218" t="n">
        <v>24964.25</v>
      </c>
      <c r="D101" s="224"/>
      <c r="E101" s="227" t="n">
        <f aca="false">C101/C100-1</f>
        <v>0.00443388502075126</v>
      </c>
      <c r="F101" s="227" t="e">
        <f aca="false">D101/D100-1</f>
        <v>#DIV/0!</v>
      </c>
    </row>
    <row r="102" customFormat="false" ht="15" hidden="false" customHeight="true" outlineLevel="0" collapsed="false">
      <c r="B102" s="217" t="s">
        <v>502</v>
      </c>
      <c r="C102" s="218" t="n">
        <v>25014.6</v>
      </c>
      <c r="D102" s="224"/>
      <c r="E102" s="227" t="n">
        <f aca="false">C102/C101-1</f>
        <v>0.00201688414432644</v>
      </c>
      <c r="F102" s="227" t="e">
        <f aca="false">D102/D101-1</f>
        <v>#DIV/0!</v>
      </c>
    </row>
    <row r="103" customFormat="false" ht="15" hidden="false" customHeight="true" outlineLevel="0" collapsed="false">
      <c r="B103" s="217" t="s">
        <v>503</v>
      </c>
      <c r="C103" s="218" t="n">
        <v>26178.95</v>
      </c>
      <c r="D103" s="224"/>
      <c r="E103" s="227" t="n">
        <f aca="false">C103/C102-1</f>
        <v>0.0465468166590712</v>
      </c>
      <c r="F103" s="227" t="e">
        <f aca="false">D103/D102-1</f>
        <v>#DIV/0!</v>
      </c>
    </row>
    <row r="104" customFormat="false" ht="15" hidden="false" customHeight="true" outlineLevel="0" collapsed="false">
      <c r="B104" s="217" t="s">
        <v>504</v>
      </c>
      <c r="C104" s="218" t="n">
        <v>25790.95</v>
      </c>
      <c r="D104" s="224"/>
      <c r="E104" s="227" t="n">
        <f aca="false">C104/C103-1</f>
        <v>-0.0148210680718669</v>
      </c>
      <c r="F104" s="227" t="e">
        <f aca="false">D104/D103-1</f>
        <v>#DIV/0!</v>
      </c>
    </row>
    <row r="105" customFormat="false" ht="15" hidden="false" customHeight="true" outlineLevel="0" collapsed="false">
      <c r="B105" s="228" t="n">
        <v>45513</v>
      </c>
      <c r="C105" s="218" t="n">
        <v>25356.5</v>
      </c>
      <c r="D105" s="224"/>
      <c r="E105" s="227" t="n">
        <f aca="false">C105/C104-1</f>
        <v>-0.0168450561146449</v>
      </c>
      <c r="F105" s="227" t="e">
        <f aca="false">D105/D104-1</f>
        <v>#DIV/0!</v>
      </c>
    </row>
    <row r="106" customFormat="false" ht="15" hidden="false" customHeight="true" outlineLevel="0" collapsed="false">
      <c r="B106" s="228" t="n">
        <v>45300</v>
      </c>
      <c r="C106" s="218" t="n">
        <v>24852.15</v>
      </c>
      <c r="D106" s="224"/>
      <c r="E106" s="227" t="n">
        <f aca="false">C106/C105-1</f>
        <v>-0.019890363417664</v>
      </c>
      <c r="F106" s="227" t="e">
        <f aca="false">D106/D105-1</f>
        <v>#DIV/0!</v>
      </c>
    </row>
    <row r="107" customFormat="false" ht="15" hidden="false" customHeight="true" outlineLevel="0" collapsed="false">
      <c r="B107" s="217" t="s">
        <v>505</v>
      </c>
      <c r="C107" s="218" t="n">
        <v>25235.9</v>
      </c>
      <c r="D107" s="224"/>
      <c r="E107" s="227" t="n">
        <f aca="false">C107/C106-1</f>
        <v>0.0154413199662806</v>
      </c>
      <c r="F107" s="227" t="e">
        <f aca="false">D107/D106-1</f>
        <v>#DIV/0!</v>
      </c>
    </row>
    <row r="108" customFormat="false" ht="15" hidden="false" customHeight="true" outlineLevel="0" collapsed="false">
      <c r="B108" s="217" t="s">
        <v>506</v>
      </c>
      <c r="C108" s="218" t="n">
        <v>24823.15</v>
      </c>
      <c r="D108" s="224"/>
      <c r="E108" s="227" t="n">
        <f aca="false">C108/C107-1</f>
        <v>-0.0163556679175302</v>
      </c>
      <c r="F108" s="227" t="e">
        <f aca="false">D108/D107-1</f>
        <v>#DIV/0!</v>
      </c>
    </row>
    <row r="109" customFormat="false" ht="15" hidden="false" customHeight="true" outlineLevel="0" collapsed="false">
      <c r="B109" s="228" t="n">
        <v>45604</v>
      </c>
      <c r="C109" s="218" t="n">
        <v>24541.15</v>
      </c>
      <c r="D109" s="224"/>
      <c r="E109" s="227" t="n">
        <f aca="false">C109/C108-1</f>
        <v>-0.0113603632093429</v>
      </c>
      <c r="F109" s="227" t="e">
        <f aca="false">D109/D108-1</f>
        <v>#DIV/0!</v>
      </c>
    </row>
    <row r="110" customFormat="false" ht="15" hidden="false" customHeight="true" outlineLevel="0" collapsed="false">
      <c r="B110" s="228" t="n">
        <v>45390</v>
      </c>
      <c r="C110" s="218" t="n">
        <v>24367.5</v>
      </c>
      <c r="D110" s="224"/>
      <c r="E110" s="227" t="n">
        <f aca="false">C110/C109-1</f>
        <v>-0.00707587052766479</v>
      </c>
      <c r="F110" s="227" t="e">
        <f aca="false">D110/D109-1</f>
        <v>#DIV/0!</v>
      </c>
    </row>
    <row r="111" customFormat="false" ht="15" hidden="false" customHeight="true" outlineLevel="0" collapsed="false">
      <c r="B111" s="217" t="s">
        <v>507</v>
      </c>
      <c r="C111" s="218" t="n">
        <v>24717.7</v>
      </c>
      <c r="D111" s="224"/>
      <c r="E111" s="227" t="n">
        <f aca="false">C111/C110-1</f>
        <v>0.0143716015184159</v>
      </c>
      <c r="F111" s="227" t="e">
        <f aca="false">D111/D110-1</f>
        <v>#DIV/0!</v>
      </c>
    </row>
    <row r="112" customFormat="false" ht="15" hidden="false" customHeight="true" outlineLevel="0" collapsed="false">
      <c r="B112" s="217" t="s">
        <v>508</v>
      </c>
      <c r="C112" s="218" t="n">
        <v>24834.85</v>
      </c>
      <c r="D112" s="224"/>
      <c r="E112" s="227" t="n">
        <f aca="false">C112/C111-1</f>
        <v>0.00473951864453404</v>
      </c>
      <c r="F112" s="227" t="e">
        <f aca="false">D112/D111-1</f>
        <v>#DIV/0!</v>
      </c>
    </row>
    <row r="113" customFormat="false" ht="15" hidden="false" customHeight="true" outlineLevel="0" collapsed="false">
      <c r="B113" s="217" t="s">
        <v>509</v>
      </c>
      <c r="C113" s="218" t="n">
        <v>24530.9</v>
      </c>
      <c r="D113" s="224"/>
      <c r="E113" s="227" t="n">
        <f aca="false">C113/C112-1</f>
        <v>-0.0122388498420565</v>
      </c>
      <c r="F113" s="227" t="e">
        <f aca="false">D113/D112-1</f>
        <v>#DIV/0!</v>
      </c>
    </row>
    <row r="114" customFormat="false" ht="15" hidden="false" customHeight="true" outlineLevel="0" collapsed="false">
      <c r="B114" s="228" t="n">
        <v>45480</v>
      </c>
      <c r="C114" s="218" t="n">
        <v>24502.15</v>
      </c>
      <c r="D114" s="224"/>
      <c r="E114" s="227" t="n">
        <f aca="false">C114/C113-1</f>
        <v>-0.00117199124369671</v>
      </c>
      <c r="F114" s="227" t="e">
        <f aca="false">D114/D113-1</f>
        <v>#DIV/0!</v>
      </c>
    </row>
    <row r="115" customFormat="false" ht="15" hidden="false" customHeight="true" outlineLevel="0" collapsed="false">
      <c r="B115" s="217" t="s">
        <v>510</v>
      </c>
      <c r="C115" s="218" t="n">
        <v>24323.85</v>
      </c>
      <c r="D115" s="224"/>
      <c r="E115" s="227" t="n">
        <f aca="false">C115/C114-1</f>
        <v>-0.00727691243421502</v>
      </c>
      <c r="F115" s="227" t="e">
        <f aca="false">D115/D114-1</f>
        <v>#DIV/0!</v>
      </c>
    </row>
    <row r="116" customFormat="false" ht="15" hidden="false" customHeight="true" outlineLevel="0" collapsed="false">
      <c r="B116" s="217" t="s">
        <v>511</v>
      </c>
      <c r="C116" s="218" t="n">
        <v>24010.6</v>
      </c>
      <c r="D116" s="224"/>
      <c r="E116" s="227" t="n">
        <f aca="false">C116/C115-1</f>
        <v>-0.0128783066825359</v>
      </c>
      <c r="F116" s="227" t="e">
        <f aca="false">D116/D115-1</f>
        <v>#DIV/0!</v>
      </c>
    </row>
    <row r="117" customFormat="false" ht="15" hidden="false" customHeight="true" outlineLevel="0" collapsed="false">
      <c r="B117" s="217" t="s">
        <v>512</v>
      </c>
      <c r="C117" s="218" t="n">
        <v>23501.1</v>
      </c>
      <c r="D117" s="224"/>
      <c r="E117" s="227" t="n">
        <f aca="false">C117/C116-1</f>
        <v>-0.0212197945907224</v>
      </c>
      <c r="F117" s="227" t="e">
        <f aca="false">D117/D116-1</f>
        <v>#DIV/0!</v>
      </c>
    </row>
    <row r="118" customFormat="false" ht="15" hidden="false" customHeight="true" outlineLevel="0" collapsed="false">
      <c r="B118" s="228" t="n">
        <v>45541</v>
      </c>
      <c r="C118" s="218" t="n">
        <v>23465.6</v>
      </c>
      <c r="D118" s="224"/>
      <c r="E118" s="227" t="n">
        <f aca="false">C118/C117-1</f>
        <v>-0.0015105675904532</v>
      </c>
      <c r="F118" s="227" t="e">
        <f aca="false">D118/D117-1</f>
        <v>#DIV/0!</v>
      </c>
    </row>
    <row r="119" customFormat="false" ht="15" hidden="false" customHeight="true" outlineLevel="0" collapsed="false">
      <c r="B119" s="228" t="n">
        <v>45328</v>
      </c>
      <c r="C119" s="218" t="n">
        <v>23290.15</v>
      </c>
      <c r="D119" s="224"/>
      <c r="E119" s="227" t="n">
        <f aca="false">C119/C118-1</f>
        <v>-0.00747690235919807</v>
      </c>
      <c r="F119" s="227" t="e">
        <f aca="false">D119/D118-1</f>
        <v>#DIV/0!</v>
      </c>
    </row>
    <row r="120" customFormat="false" ht="15" hidden="false" customHeight="true" outlineLevel="0" collapsed="false">
      <c r="B120" s="217" t="s">
        <v>513</v>
      </c>
      <c r="C120" s="218" t="n">
        <v>22530.7</v>
      </c>
      <c r="D120" s="224"/>
      <c r="E120" s="227" t="n">
        <f aca="false">C120/C119-1</f>
        <v>-0.03260820561482</v>
      </c>
      <c r="F120" s="227" t="e">
        <f aca="false">D120/D119-1</f>
        <v>#DIV/0!</v>
      </c>
    </row>
    <row r="121" customFormat="false" ht="15" hidden="false" customHeight="true" outlineLevel="0" collapsed="false">
      <c r="B121" s="217" t="s">
        <v>514</v>
      </c>
      <c r="C121" s="218" t="n">
        <v>22957.1</v>
      </c>
      <c r="D121" s="224"/>
      <c r="E121" s="227" t="n">
        <f aca="false">C121/C120-1</f>
        <v>0.0189252886062128</v>
      </c>
      <c r="F121" s="227" t="e">
        <f aca="false">D121/D120-1</f>
        <v>#DIV/0!</v>
      </c>
    </row>
    <row r="122" customFormat="false" ht="15" hidden="false" customHeight="true" outlineLevel="0" collapsed="false">
      <c r="B122" s="228" t="n">
        <v>45631</v>
      </c>
      <c r="C122" s="218" t="n">
        <v>22466.1</v>
      </c>
      <c r="D122" s="224"/>
      <c r="E122" s="227" t="n">
        <f aca="false">C122/C121-1</f>
        <v>-0.0213877188320825</v>
      </c>
      <c r="F122" s="227" t="e">
        <f aca="false">D122/D121-1</f>
        <v>#DIV/0!</v>
      </c>
    </row>
    <row r="123" customFormat="false" ht="15" hidden="false" customHeight="true" outlineLevel="0" collapsed="false">
      <c r="B123" s="228" t="n">
        <v>45417</v>
      </c>
      <c r="C123" s="218" t="n">
        <v>22055.2</v>
      </c>
      <c r="D123" s="224"/>
      <c r="E123" s="227" t="n">
        <f aca="false">C123/C122-1</f>
        <v>-0.0182897788223144</v>
      </c>
      <c r="F123" s="227" t="e">
        <f aca="false">D123/D122-1</f>
        <v>#DIV/0!</v>
      </c>
    </row>
    <row r="124" customFormat="false" ht="15" hidden="false" customHeight="true" outlineLevel="0" collapsed="false">
      <c r="B124" s="217" t="s">
        <v>515</v>
      </c>
      <c r="C124" s="218" t="n">
        <v>22475.85</v>
      </c>
      <c r="D124" s="224"/>
      <c r="E124" s="227" t="n">
        <f aca="false">C124/C123-1</f>
        <v>0.0190725996590373</v>
      </c>
      <c r="F124" s="227" t="e">
        <f aca="false">D124/D123-1</f>
        <v>#DIV/0!</v>
      </c>
    </row>
    <row r="125" customFormat="false" ht="15" hidden="false" customHeight="true" outlineLevel="0" collapsed="false">
      <c r="B125" s="217" t="s">
        <v>516</v>
      </c>
      <c r="C125" s="218" t="n">
        <v>22419.95</v>
      </c>
      <c r="D125" s="224"/>
      <c r="E125" s="227" t="n">
        <f aca="false">C125/C124-1</f>
        <v>-0.00248711394674717</v>
      </c>
      <c r="F125" s="227" t="e">
        <f aca="false">D125/D124-1</f>
        <v>#DIV/0!</v>
      </c>
    </row>
    <row r="126" customFormat="false" ht="15" hidden="false" customHeight="true" outlineLevel="0" collapsed="false">
      <c r="B126" s="217" t="s">
        <v>517</v>
      </c>
      <c r="C126" s="218" t="n">
        <v>22147</v>
      </c>
      <c r="D126" s="224"/>
      <c r="E126" s="227" t="n">
        <f aca="false">C126/C125-1</f>
        <v>-0.0121744250098684</v>
      </c>
      <c r="F126" s="227" t="e">
        <f aca="false">D126/D125-1</f>
        <v>#DIV/0!</v>
      </c>
    </row>
    <row r="127" customFormat="false" ht="15" hidden="false" customHeight="true" outlineLevel="0" collapsed="false">
      <c r="B127" s="228" t="n">
        <v>45477</v>
      </c>
      <c r="C127" s="218" t="n">
        <v>22519.4</v>
      </c>
      <c r="D127" s="224"/>
      <c r="E127" s="227" t="n">
        <f aca="false">C127/C126-1</f>
        <v>0.0168149184991195</v>
      </c>
      <c r="F127" s="227" t="e">
        <f aca="false">D127/D126-1</f>
        <v>#DIV/0!</v>
      </c>
    </row>
    <row r="128" customFormat="false" ht="15" hidden="false" customHeight="true" outlineLevel="0" collapsed="false">
      <c r="B128" s="217" t="s">
        <v>518</v>
      </c>
      <c r="C128" s="218" t="n">
        <v>22513.7</v>
      </c>
      <c r="D128" s="224"/>
      <c r="E128" s="227" t="n">
        <f aca="false">C128/C127-1</f>
        <v>-0.000253115091876421</v>
      </c>
      <c r="F128" s="227" t="e">
        <f aca="false">D128/D127-1</f>
        <v>#DIV/0!</v>
      </c>
    </row>
    <row r="129" customFormat="false" ht="15" hidden="false" customHeight="true" outlineLevel="0" collapsed="false">
      <c r="B129" s="217" t="s">
        <v>519</v>
      </c>
      <c r="C129" s="218" t="n">
        <v>22326.9</v>
      </c>
      <c r="D129" s="224"/>
      <c r="E129" s="227" t="n">
        <f aca="false">C129/C128-1</f>
        <v>-0.00829717016749798</v>
      </c>
      <c r="F129" s="227" t="e">
        <f aca="false">D129/D128-1</f>
        <v>#DIV/0!</v>
      </c>
    </row>
    <row r="130" customFormat="false" ht="15" hidden="false" customHeight="true" outlineLevel="0" collapsed="false">
      <c r="B130" s="217" t="s">
        <v>520</v>
      </c>
      <c r="C130" s="218" t="n">
        <v>22096.75</v>
      </c>
      <c r="D130" s="224"/>
      <c r="E130" s="227" t="n">
        <f aca="false">C130/C129-1</f>
        <v>-0.0103081932556692</v>
      </c>
      <c r="F130" s="227" t="e">
        <f aca="false">D130/D129-1</f>
        <v>#DIV/0!</v>
      </c>
    </row>
    <row r="131" customFormat="false" ht="15" hidden="false" customHeight="true" outlineLevel="0" collapsed="false">
      <c r="B131" s="228" t="n">
        <v>45568</v>
      </c>
      <c r="C131" s="218" t="n">
        <v>22023.35</v>
      </c>
      <c r="D131" s="224"/>
      <c r="E131" s="227" t="n">
        <f aca="false">C131/C130-1</f>
        <v>-0.00332175546177615</v>
      </c>
      <c r="F131" s="227" t="e">
        <f aca="false">D131/D130-1</f>
        <v>#DIV/0!</v>
      </c>
    </row>
    <row r="132" customFormat="false" ht="15" hidden="false" customHeight="true" outlineLevel="0" collapsed="false">
      <c r="B132" s="228" t="n">
        <v>45354</v>
      </c>
      <c r="C132" s="218" t="n">
        <v>22493.55</v>
      </c>
      <c r="D132" s="224"/>
      <c r="E132" s="227" t="n">
        <f aca="false">C132/C131-1</f>
        <v>0.0213500670878863</v>
      </c>
      <c r="F132" s="227" t="e">
        <f aca="false">D132/D131-1</f>
        <v>#DIV/0!</v>
      </c>
    </row>
    <row r="133" customFormat="false" ht="15" hidden="false" customHeight="true" outlineLevel="0" collapsed="false">
      <c r="B133" s="217" t="s">
        <v>521</v>
      </c>
      <c r="C133" s="218" t="n">
        <v>22338.75</v>
      </c>
      <c r="D133" s="224"/>
      <c r="E133" s="227" t="n">
        <f aca="false">C133/C132-1</f>
        <v>-0.00688197283221181</v>
      </c>
      <c r="F133" s="227" t="e">
        <f aca="false">D133/D132-1</f>
        <v>#DIV/0!</v>
      </c>
    </row>
    <row r="134" customFormat="false" ht="15" hidden="false" customHeight="true" outlineLevel="0" collapsed="false">
      <c r="B134" s="217" t="s">
        <v>522</v>
      </c>
      <c r="C134" s="218" t="n">
        <v>22212.7</v>
      </c>
      <c r="D134" s="224"/>
      <c r="E134" s="227" t="n">
        <f aca="false">C134/C133-1</f>
        <v>-0.00564266129483515</v>
      </c>
      <c r="F134" s="227" t="e">
        <f aca="false">D134/D133-1</f>
        <v>#DIV/0!</v>
      </c>
    </row>
    <row r="135" customFormat="false" ht="15" hidden="false" customHeight="true" outlineLevel="0" collapsed="false">
      <c r="B135" s="228" t="n">
        <v>45598</v>
      </c>
      <c r="C135" s="218" t="n">
        <v>22040.7</v>
      </c>
      <c r="D135" s="224"/>
      <c r="E135" s="227" t="n">
        <f aca="false">C135/C134-1</f>
        <v>-0.00774331801176809</v>
      </c>
      <c r="F135" s="227" t="e">
        <f aca="false">D135/D134-1</f>
        <v>#DIV/0!</v>
      </c>
    </row>
    <row r="136" customFormat="false" ht="15" hidden="false" customHeight="true" outlineLevel="0" collapsed="false">
      <c r="B136" s="228" t="n">
        <v>45384</v>
      </c>
      <c r="C136" s="218" t="n">
        <v>21782.5</v>
      </c>
      <c r="D136" s="224"/>
      <c r="E136" s="227" t="n">
        <f aca="false">C136/C135-1</f>
        <v>-0.0117146914571679</v>
      </c>
      <c r="F136" s="227" t="e">
        <f aca="false">D136/D135-1</f>
        <v>#DIV/0!</v>
      </c>
    </row>
    <row r="137" customFormat="false" ht="15" hidden="false" customHeight="true" outlineLevel="0" collapsed="false">
      <c r="B137" s="217" t="s">
        <v>523</v>
      </c>
      <c r="C137" s="218" t="n">
        <v>21853.8</v>
      </c>
      <c r="D137" s="224"/>
      <c r="E137" s="227" t="n">
        <f aca="false">C137/C136-1</f>
        <v>0.00327326982669574</v>
      </c>
      <c r="F137" s="227" t="e">
        <f aca="false">D137/D136-1</f>
        <v>#DIV/0!</v>
      </c>
    </row>
    <row r="138" customFormat="false" ht="15" hidden="false" customHeight="true" outlineLevel="0" collapsed="false">
      <c r="B138" s="217" t="s">
        <v>524</v>
      </c>
      <c r="C138" s="218" t="n">
        <v>21352.6</v>
      </c>
      <c r="D138" s="224"/>
      <c r="E138" s="227" t="n">
        <f aca="false">C138/C137-1</f>
        <v>-0.0229342265418372</v>
      </c>
      <c r="F138" s="227" t="e">
        <f aca="false">D138/D137-1</f>
        <v>#DIV/0!</v>
      </c>
    </row>
    <row r="139" customFormat="false" ht="15" hidden="false" customHeight="true" outlineLevel="0" collapsed="false">
      <c r="B139" s="217" t="s">
        <v>525</v>
      </c>
      <c r="C139" s="218" t="n">
        <v>21622.4</v>
      </c>
      <c r="D139" s="224"/>
      <c r="E139" s="227" t="n">
        <f aca="false">C139/C138-1</f>
        <v>0.0126354635969392</v>
      </c>
      <c r="F139" s="227" t="e">
        <f aca="false">D139/D138-1</f>
        <v>#DIV/0!</v>
      </c>
    </row>
    <row r="140" customFormat="false" ht="15" hidden="false" customHeight="true" outlineLevel="0" collapsed="false">
      <c r="B140" s="228" t="n">
        <v>45474</v>
      </c>
      <c r="C140" s="218" t="n">
        <v>21894.55</v>
      </c>
      <c r="D140" s="224"/>
      <c r="E140" s="227" t="n">
        <f aca="false">C140/C139-1</f>
        <v>0.012586484386562</v>
      </c>
      <c r="F140" s="227" t="e">
        <f aca="false">D140/D139-1</f>
        <v>#DIV/0!</v>
      </c>
    </row>
    <row r="141" customFormat="false" ht="15" hidden="false" customHeight="true" outlineLevel="0" collapsed="false">
      <c r="B141" s="217" t="s">
        <v>526</v>
      </c>
      <c r="C141" s="218" t="n">
        <v>21710.8</v>
      </c>
      <c r="D141" s="224"/>
      <c r="E141" s="227" t="n">
        <f aca="false">C141/C140-1</f>
        <v>-0.00839249950330101</v>
      </c>
      <c r="F141" s="227" t="e">
        <f aca="false">D141/D140-1</f>
        <v>#DIV/0!</v>
      </c>
    </row>
    <row r="142" customFormat="false" ht="15" hidden="false" customHeight="true" outlineLevel="0" collapsed="false">
      <c r="B142" s="217" t="s">
        <v>527</v>
      </c>
      <c r="C142" s="218" t="n">
        <v>21731.4</v>
      </c>
      <c r="D142" s="224"/>
      <c r="E142" s="227" t="n">
        <f aca="false">C142/C141-1</f>
        <v>0.000948836523757768</v>
      </c>
      <c r="F142" s="227" t="e">
        <f aca="false">D142/D141-1</f>
        <v>#DIV/0!</v>
      </c>
    </row>
    <row r="143" customFormat="false" ht="15" hidden="false" customHeight="true" outlineLevel="0" collapsed="false">
      <c r="B143" s="217" t="s">
        <v>528</v>
      </c>
      <c r="C143" s="218" t="n">
        <v>21349.4</v>
      </c>
      <c r="D143" s="224"/>
      <c r="E143" s="227" t="n">
        <f aca="false">C143/C142-1</f>
        <v>-0.0175782508259937</v>
      </c>
      <c r="F143" s="227" t="e">
        <f aca="false">D143/D142-1</f>
        <v>#DIV/0!</v>
      </c>
    </row>
    <row r="144" customFormat="false" ht="15" hidden="false" customHeight="true" outlineLevel="0" collapsed="false">
      <c r="B144" s="228" t="n">
        <v>45211</v>
      </c>
      <c r="C144" s="218" t="n">
        <v>21456.65</v>
      </c>
      <c r="D144" s="224"/>
      <c r="E144" s="227" t="n">
        <f aca="false">C144/C143-1</f>
        <v>0.00502356038108798</v>
      </c>
      <c r="F144" s="227" t="e">
        <f aca="false">D144/D143-1</f>
        <v>#DIV/0!</v>
      </c>
    </row>
    <row r="145" customFormat="false" ht="15" hidden="false" customHeight="true" outlineLevel="0" collapsed="false">
      <c r="B145" s="228" t="n">
        <v>44997</v>
      </c>
      <c r="C145" s="218" t="n">
        <v>20969.4</v>
      </c>
      <c r="D145" s="224"/>
      <c r="E145" s="227" t="n">
        <f aca="false">C145/C144-1</f>
        <v>-0.0227085775272468</v>
      </c>
      <c r="F145" s="227" t="e">
        <f aca="false">D145/D144-1</f>
        <v>#DIV/0!</v>
      </c>
    </row>
    <row r="146" customFormat="false" ht="15" hidden="false" customHeight="true" outlineLevel="0" collapsed="false">
      <c r="B146" s="217" t="s">
        <v>529</v>
      </c>
      <c r="C146" s="218" t="n">
        <v>20267.9</v>
      </c>
      <c r="D146" s="224"/>
      <c r="E146" s="227" t="n">
        <f aca="false">C146/C145-1</f>
        <v>-0.0334535084456399</v>
      </c>
      <c r="F146" s="227" t="e">
        <f aca="false">D146/D145-1</f>
        <v>#DIV/0!</v>
      </c>
    </row>
    <row r="147" customFormat="false" ht="15" hidden="false" customHeight="true" outlineLevel="0" collapsed="false">
      <c r="B147" s="217" t="s">
        <v>530</v>
      </c>
      <c r="C147" s="218" t="n">
        <v>19794.7</v>
      </c>
      <c r="D147" s="224"/>
      <c r="E147" s="227" t="n">
        <f aca="false">C147/C146-1</f>
        <v>-0.0233472634066677</v>
      </c>
      <c r="F147" s="227" t="e">
        <f aca="false">D147/D146-1</f>
        <v>#DIV/0!</v>
      </c>
    </row>
    <row r="148" customFormat="false" ht="15" hidden="false" customHeight="true" outlineLevel="0" collapsed="false">
      <c r="B148" s="228" t="n">
        <v>45271</v>
      </c>
      <c r="C148" s="218" t="n">
        <v>19731.8</v>
      </c>
      <c r="D148" s="224"/>
      <c r="E148" s="227" t="n">
        <f aca="false">C148/C147-1</f>
        <v>-0.00317761825135021</v>
      </c>
      <c r="F148" s="227" t="e">
        <f aca="false">D148/D147-1</f>
        <v>#DIV/0!</v>
      </c>
    </row>
    <row r="149" customFormat="false" ht="15" hidden="false" customHeight="true" outlineLevel="0" collapsed="false">
      <c r="B149" s="228" t="n">
        <v>45057</v>
      </c>
      <c r="C149" s="218" t="n">
        <v>19425.35</v>
      </c>
      <c r="D149" s="224"/>
      <c r="E149" s="227" t="n">
        <f aca="false">C149/C148-1</f>
        <v>-0.0155307675934279</v>
      </c>
      <c r="F149" s="227" t="e">
        <f aca="false">D149/D148-1</f>
        <v>#DIV/0!</v>
      </c>
    </row>
    <row r="150" customFormat="false" ht="15" hidden="false" customHeight="true" outlineLevel="0" collapsed="false">
      <c r="B150" s="217" t="s">
        <v>531</v>
      </c>
      <c r="C150" s="218" t="n">
        <v>19230.6</v>
      </c>
      <c r="D150" s="224"/>
      <c r="E150" s="227" t="n">
        <f aca="false">C150/C149-1</f>
        <v>-0.0100255593850304</v>
      </c>
      <c r="F150" s="227" t="e">
        <f aca="false">D150/D149-1</f>
        <v>#DIV/0!</v>
      </c>
    </row>
    <row r="151" customFormat="false" ht="15" hidden="false" customHeight="true" outlineLevel="0" collapsed="false">
      <c r="B151" s="217" t="s">
        <v>532</v>
      </c>
      <c r="C151" s="218" t="n">
        <v>19047.25</v>
      </c>
      <c r="D151" s="224"/>
      <c r="E151" s="227" t="n">
        <f aca="false">C151/C150-1</f>
        <v>-0.0095342839016983</v>
      </c>
      <c r="F151" s="227" t="e">
        <f aca="false">D151/D150-1</f>
        <v>#DIV/0!</v>
      </c>
    </row>
    <row r="152" customFormat="false" ht="15" hidden="false" customHeight="true" outlineLevel="0" collapsed="false">
      <c r="B152" s="217" t="s">
        <v>533</v>
      </c>
      <c r="C152" s="218" t="n">
        <v>19542.65</v>
      </c>
      <c r="D152" s="224"/>
      <c r="E152" s="227" t="n">
        <f aca="false">C152/C151-1</f>
        <v>0.0260090039244512</v>
      </c>
      <c r="F152" s="227" t="e">
        <f aca="false">D152/D151-1</f>
        <v>#DIV/0!</v>
      </c>
    </row>
    <row r="153" customFormat="false" ht="15" hidden="false" customHeight="true" outlineLevel="0" collapsed="false">
      <c r="B153" s="228" t="n">
        <v>45148</v>
      </c>
      <c r="C153" s="218" t="n">
        <v>19751.05</v>
      </c>
      <c r="D153" s="224"/>
      <c r="E153" s="227" t="n">
        <f aca="false">C153/C152-1</f>
        <v>0.0106638557206928</v>
      </c>
      <c r="F153" s="227" t="e">
        <f aca="false">D153/D152-1</f>
        <v>#DIV/0!</v>
      </c>
    </row>
    <row r="154" customFormat="false" ht="15" hidden="false" customHeight="true" outlineLevel="0" collapsed="false">
      <c r="B154" s="228" t="n">
        <v>44936</v>
      </c>
      <c r="C154" s="218" t="n">
        <v>19653.5</v>
      </c>
      <c r="D154" s="224"/>
      <c r="E154" s="227" t="n">
        <f aca="false">C154/C153-1</f>
        <v>-0.00493897792775566</v>
      </c>
      <c r="F154" s="227" t="e">
        <f aca="false">D154/D153-1</f>
        <v>#DIV/0!</v>
      </c>
    </row>
    <row r="155" customFormat="false" ht="15" hidden="false" customHeight="true" outlineLevel="0" collapsed="false">
      <c r="B155" s="217" t="s">
        <v>534</v>
      </c>
      <c r="C155" s="218" t="n">
        <v>19638.3</v>
      </c>
      <c r="D155" s="224"/>
      <c r="E155" s="227" t="n">
        <f aca="false">C155/C154-1</f>
        <v>-0.000773399140102327</v>
      </c>
      <c r="F155" s="227" t="e">
        <f aca="false">D155/D154-1</f>
        <v>#DIV/0!</v>
      </c>
    </row>
    <row r="156" customFormat="false" ht="15" hidden="false" customHeight="true" outlineLevel="0" collapsed="false">
      <c r="B156" s="217" t="s">
        <v>535</v>
      </c>
      <c r="C156" s="218" t="n">
        <v>19674.25</v>
      </c>
      <c r="D156" s="224"/>
      <c r="E156" s="227" t="n">
        <f aca="false">C156/C155-1</f>
        <v>0.00183060651889422</v>
      </c>
      <c r="F156" s="227" t="e">
        <f aca="false">D156/D155-1</f>
        <v>#DIV/0!</v>
      </c>
    </row>
    <row r="157" customFormat="false" ht="15" hidden="false" customHeight="true" outlineLevel="0" collapsed="false">
      <c r="B157" s="228" t="n">
        <v>45208</v>
      </c>
      <c r="C157" s="218" t="n">
        <v>20192.35</v>
      </c>
      <c r="D157" s="224"/>
      <c r="E157" s="227" t="n">
        <f aca="false">C157/C156-1</f>
        <v>0.026333913618054</v>
      </c>
      <c r="F157" s="227" t="e">
        <f aca="false">D157/D156-1</f>
        <v>#DIV/0!</v>
      </c>
    </row>
    <row r="158" customFormat="false" ht="15" hidden="false" customHeight="true" outlineLevel="0" collapsed="false">
      <c r="B158" s="228" t="n">
        <v>44994</v>
      </c>
      <c r="C158" s="218" t="n">
        <v>19819.95</v>
      </c>
      <c r="D158" s="224"/>
      <c r="E158" s="227" t="n">
        <f aca="false">C158/C157-1</f>
        <v>-0.0184426280249698</v>
      </c>
      <c r="F158" s="227" t="e">
        <f aca="false">D158/D157-1</f>
        <v>#DIV/0!</v>
      </c>
    </row>
    <row r="159" customFormat="false" ht="15" hidden="false" customHeight="true" outlineLevel="0" collapsed="false">
      <c r="B159" s="217" t="s">
        <v>536</v>
      </c>
      <c r="C159" s="218" t="n">
        <v>19435.3</v>
      </c>
      <c r="D159" s="224"/>
      <c r="E159" s="227" t="n">
        <f aca="false">C159/C158-1</f>
        <v>-0.0194072134389846</v>
      </c>
      <c r="F159" s="227" t="e">
        <f aca="false">D159/D158-1</f>
        <v>#DIV/0!</v>
      </c>
    </row>
    <row r="160" customFormat="false" ht="15" hidden="false" customHeight="true" outlineLevel="0" collapsed="false">
      <c r="B160" s="217" t="s">
        <v>537</v>
      </c>
      <c r="C160" s="218" t="n">
        <v>19265.8</v>
      </c>
      <c r="D160" s="224"/>
      <c r="E160" s="227" t="n">
        <f aca="false">C160/C159-1</f>
        <v>-0.00872124433376387</v>
      </c>
      <c r="F160" s="227" t="e">
        <f aca="false">D160/D159-1</f>
        <v>#DIV/0!</v>
      </c>
    </row>
    <row r="161" customFormat="false" ht="15" hidden="false" customHeight="true" outlineLevel="0" collapsed="false">
      <c r="B161" s="217" t="s">
        <v>538</v>
      </c>
      <c r="C161" s="218" t="n">
        <v>19310.15</v>
      </c>
      <c r="D161" s="224"/>
      <c r="E161" s="227" t="n">
        <f aca="false">C161/C160-1</f>
        <v>0.00230200666465974</v>
      </c>
      <c r="F161" s="227" t="e">
        <f aca="false">D161/D160-1</f>
        <v>#DIV/0!</v>
      </c>
    </row>
    <row r="162" customFormat="false" ht="15" hidden="false" customHeight="true" outlineLevel="0" collapsed="false">
      <c r="B162" s="228" t="n">
        <v>45085</v>
      </c>
      <c r="C162" s="218" t="n">
        <v>19428.3</v>
      </c>
      <c r="D162" s="224"/>
      <c r="E162" s="227" t="n">
        <f aca="false">C162/C161-1</f>
        <v>0.00611854387459432</v>
      </c>
      <c r="F162" s="227" t="e">
        <f aca="false">D162/D161-1</f>
        <v>#DIV/0!</v>
      </c>
    </row>
    <row r="163" customFormat="false" ht="15" hidden="false" customHeight="true" outlineLevel="0" collapsed="false">
      <c r="B163" s="217" t="s">
        <v>539</v>
      </c>
      <c r="C163" s="218" t="n">
        <v>19517</v>
      </c>
      <c r="D163" s="224"/>
      <c r="E163" s="227" t="n">
        <f aca="false">C163/C162-1</f>
        <v>0.00456550495926056</v>
      </c>
      <c r="F163" s="227" t="e">
        <f aca="false">D163/D162-1</f>
        <v>#DIV/0!</v>
      </c>
    </row>
    <row r="164" customFormat="false" ht="15" hidden="false" customHeight="true" outlineLevel="0" collapsed="false">
      <c r="B164" s="217" t="s">
        <v>540</v>
      </c>
      <c r="C164" s="218" t="n">
        <v>19646.05</v>
      </c>
      <c r="D164" s="224"/>
      <c r="E164" s="227" t="n">
        <f aca="false">C164/C163-1</f>
        <v>0.00661218424962851</v>
      </c>
      <c r="F164" s="227" t="e">
        <f aca="false">D164/D163-1</f>
        <v>#DIV/0!</v>
      </c>
    </row>
    <row r="165" customFormat="false" ht="15" hidden="false" customHeight="true" outlineLevel="0" collapsed="false">
      <c r="B165" s="217" t="s">
        <v>541</v>
      </c>
      <c r="C165" s="218" t="n">
        <v>19745</v>
      </c>
      <c r="D165" s="224"/>
      <c r="E165" s="227" t="n">
        <f aca="false">C165/C164-1</f>
        <v>0.00503663586318881</v>
      </c>
      <c r="F165" s="227" t="e">
        <f aca="false">D165/D164-1</f>
        <v>#DIV/0!</v>
      </c>
    </row>
    <row r="166" customFormat="false" ht="15" hidden="false" customHeight="true" outlineLevel="0" collapsed="false">
      <c r="B166" s="228" t="n">
        <v>45176</v>
      </c>
      <c r="C166" s="218" t="n">
        <v>19564.5</v>
      </c>
      <c r="D166" s="224"/>
      <c r="E166" s="227" t="n">
        <f aca="false">C166/C165-1</f>
        <v>-0.00914155482400603</v>
      </c>
      <c r="F166" s="227" t="e">
        <f aca="false">D166/D165-1</f>
        <v>#DIV/0!</v>
      </c>
    </row>
    <row r="167" customFormat="false" ht="15" hidden="false" customHeight="true" outlineLevel="0" collapsed="false">
      <c r="B167" s="228" t="n">
        <v>44964</v>
      </c>
      <c r="C167" s="218" t="n">
        <v>19331.8</v>
      </c>
      <c r="D167" s="224"/>
      <c r="E167" s="227" t="n">
        <f aca="false">C167/C166-1</f>
        <v>-0.0118939916685834</v>
      </c>
      <c r="F167" s="227" t="e">
        <f aca="false">D167/D166-1</f>
        <v>#DIV/0!</v>
      </c>
    </row>
    <row r="168" customFormat="false" ht="15" hidden="false" customHeight="true" outlineLevel="0" collapsed="false">
      <c r="B168" s="217" t="s">
        <v>542</v>
      </c>
      <c r="C168" s="218" t="n">
        <v>19189.05</v>
      </c>
      <c r="D168" s="224"/>
      <c r="E168" s="227" t="n">
        <f aca="false">C168/C167-1</f>
        <v>-0.00738420633360581</v>
      </c>
      <c r="F168" s="227" t="e">
        <f aca="false">D168/D167-1</f>
        <v>#DIV/0!</v>
      </c>
    </row>
    <row r="169" customFormat="false" ht="15" hidden="false" customHeight="true" outlineLevel="0" collapsed="false">
      <c r="B169" s="217" t="s">
        <v>543</v>
      </c>
      <c r="C169" s="218" t="n">
        <v>18665.5</v>
      </c>
      <c r="D169" s="224"/>
      <c r="E169" s="227" t="n">
        <f aca="false">C169/C168-1</f>
        <v>-0.0272837894528389</v>
      </c>
      <c r="F169" s="227" t="e">
        <f aca="false">D169/D168-1</f>
        <v>#DIV/0!</v>
      </c>
    </row>
    <row r="170" customFormat="false" ht="15" hidden="false" customHeight="true" outlineLevel="0" collapsed="false">
      <c r="B170" s="228" t="n">
        <v>45236</v>
      </c>
      <c r="C170" s="218" t="n">
        <v>18826</v>
      </c>
      <c r="D170" s="224"/>
      <c r="E170" s="227" t="n">
        <f aca="false">C170/C169-1</f>
        <v>0.00859875170769597</v>
      </c>
      <c r="F170" s="227" t="e">
        <f aca="false">D170/D169-1</f>
        <v>#DIV/0!</v>
      </c>
    </row>
    <row r="171" customFormat="false" ht="15" hidden="false" customHeight="true" outlineLevel="0" collapsed="false">
      <c r="B171" s="228" t="n">
        <v>45022</v>
      </c>
      <c r="C171" s="218" t="n">
        <v>18563.4</v>
      </c>
      <c r="D171" s="224"/>
      <c r="E171" s="227" t="n">
        <f aca="false">C171/C170-1</f>
        <v>-0.0139487942207585</v>
      </c>
      <c r="F171" s="227" t="e">
        <f aca="false">D171/D170-1</f>
        <v>#DIV/0!</v>
      </c>
    </row>
    <row r="172" customFormat="false" ht="15" hidden="false" customHeight="true" outlineLevel="0" collapsed="false">
      <c r="B172" s="217" t="s">
        <v>544</v>
      </c>
      <c r="C172" s="218" t="n">
        <v>18534.1</v>
      </c>
      <c r="D172" s="224"/>
      <c r="E172" s="227" t="n">
        <f aca="false">C172/C171-1</f>
        <v>-0.00157837465119548</v>
      </c>
      <c r="F172" s="227" t="e">
        <f aca="false">D172/D171-1</f>
        <v>#DIV/0!</v>
      </c>
    </row>
  </sheetData>
  <mergeCells count="4">
    <mergeCell ref="B1:F1"/>
    <mergeCell ref="B4:G4"/>
    <mergeCell ref="B13:G13"/>
    <mergeCell ref="B15:F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2026-05-25T21:30:05Z</dcterms:created>
  <dc:creator>openpyxl</dc:creator>
  <dc:description/>
  <dc:language>en-US</dc:language>
  <cp:lastModifiedBy>Arnav Agarwal</cp:lastModifiedBy>
  <dcterms:modified xsi:type="dcterms:W3CDTF">2026-05-31T13:17:16Z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
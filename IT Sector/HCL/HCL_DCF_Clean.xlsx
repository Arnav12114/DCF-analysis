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rnav/Downloads/"/>
    </mc:Choice>
  </mc:AlternateContent>
  <xr:revisionPtr revIDLastSave="0" documentId="13_ncr:1_{235C0F44-F985-A049-8D8F-F8BB3D2DBEB6}" xr6:coauthVersionLast="47" xr6:coauthVersionMax="47" xr10:uidLastSave="{00000000-0000-0000-0000-000000000000}"/>
  <bookViews>
    <workbookView xWindow="0" yWindow="760" windowWidth="16380" windowHeight="17440" tabRatio="500" firstSheet="2" activeTab="5" xr2:uid="{00000000-000D-0000-FFFF-FFFF00000000}"/>
  </bookViews>
  <sheets>
    <sheet name="Data Sheet" sheetId="1" r:id="rId1"/>
    <sheet name="📋 Cover" sheetId="2" r:id="rId2"/>
    <sheet name="📊 Hist Data" sheetId="3" r:id="rId3"/>
    <sheet name="🔑 Assumptions" sheetId="4" r:id="rId4"/>
    <sheet name="📈 Projections" sheetId="5" r:id="rId5"/>
    <sheet name="💰 FCF &amp; Val" sheetId="6" r:id="rId6"/>
    <sheet name="🔬 Sensitivity" sheetId="7" r:id="rId7"/>
    <sheet name="📐 Beta Cal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8" l="1"/>
  <c r="C9" i="8"/>
  <c r="B4" i="7"/>
  <c r="G21" i="4"/>
  <c r="H21" i="4" s="1"/>
  <c r="F6" i="5"/>
  <c r="G6" i="5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C7" i="8"/>
  <c r="C2" i="7"/>
  <c r="C46" i="6"/>
  <c r="C44" i="6"/>
  <c r="C41" i="6"/>
  <c r="C23" i="6"/>
  <c r="C19" i="5"/>
  <c r="D19" i="5" s="1"/>
  <c r="E19" i="5" s="1"/>
  <c r="F19" i="5" s="1"/>
  <c r="G19" i="5" s="1"/>
  <c r="H19" i="5" s="1"/>
  <c r="I19" i="5" s="1"/>
  <c r="J19" i="5" s="1"/>
  <c r="K19" i="5" s="1"/>
  <c r="E8" i="5"/>
  <c r="D8" i="5"/>
  <c r="E6" i="5"/>
  <c r="D6" i="5"/>
  <c r="C92" i="4"/>
  <c r="C69" i="4"/>
  <c r="C60" i="4"/>
  <c r="E29" i="4"/>
  <c r="D29" i="4"/>
  <c r="E24" i="4"/>
  <c r="D24" i="4"/>
  <c r="F23" i="4"/>
  <c r="G23" i="4" s="1"/>
  <c r="E23" i="4"/>
  <c r="D23" i="4"/>
  <c r="G22" i="4"/>
  <c r="G8" i="5" s="1"/>
  <c r="F22" i="4"/>
  <c r="F8" i="5" s="1"/>
  <c r="G74" i="3"/>
  <c r="F74" i="3"/>
  <c r="E74" i="3"/>
  <c r="D74" i="3"/>
  <c r="C74" i="3"/>
  <c r="G73" i="3"/>
  <c r="F73" i="3"/>
  <c r="E73" i="3"/>
  <c r="D73" i="3"/>
  <c r="C73" i="3"/>
  <c r="C30" i="4" s="1"/>
  <c r="G66" i="3"/>
  <c r="C91" i="4" s="1"/>
  <c r="C39" i="6" s="1"/>
  <c r="F66" i="3"/>
  <c r="E66" i="3"/>
  <c r="D66" i="3"/>
  <c r="C66" i="3"/>
  <c r="G61" i="3"/>
  <c r="F61" i="3"/>
  <c r="E61" i="3"/>
  <c r="D61" i="3"/>
  <c r="C61" i="3"/>
  <c r="G56" i="3"/>
  <c r="F56" i="3"/>
  <c r="E56" i="3"/>
  <c r="D56" i="3"/>
  <c r="C56" i="3"/>
  <c r="G54" i="3"/>
  <c r="F54" i="3"/>
  <c r="E54" i="3"/>
  <c r="D54" i="3"/>
  <c r="C54" i="3"/>
  <c r="G53" i="3"/>
  <c r="F53" i="3"/>
  <c r="E53" i="3"/>
  <c r="D53" i="3"/>
  <c r="C53" i="3"/>
  <c r="G45" i="3"/>
  <c r="G63" i="3" s="1"/>
  <c r="C89" i="4" s="1"/>
  <c r="F45" i="3"/>
  <c r="F63" i="3" s="1"/>
  <c r="E45" i="3"/>
  <c r="E63" i="3" s="1"/>
  <c r="D45" i="3"/>
  <c r="D63" i="3" s="1"/>
  <c r="C45" i="3"/>
  <c r="C63" i="3" s="1"/>
  <c r="G44" i="3"/>
  <c r="G67" i="3" s="1"/>
  <c r="G81" i="3" s="1"/>
  <c r="F44" i="3"/>
  <c r="F67" i="3" s="1"/>
  <c r="F81" i="3" s="1"/>
  <c r="E44" i="3"/>
  <c r="E67" i="3" s="1"/>
  <c r="E81" i="3" s="1"/>
  <c r="D44" i="3"/>
  <c r="D67" i="3" s="1"/>
  <c r="D81" i="3" s="1"/>
  <c r="C44" i="3"/>
  <c r="C67" i="3" s="1"/>
  <c r="C81" i="3" s="1"/>
  <c r="G43" i="3"/>
  <c r="F43" i="3"/>
  <c r="E43" i="3"/>
  <c r="D43" i="3"/>
  <c r="C43" i="3"/>
  <c r="G42" i="3"/>
  <c r="G64" i="3" s="1"/>
  <c r="F42" i="3"/>
  <c r="F64" i="3" s="1"/>
  <c r="E42" i="3"/>
  <c r="E64" i="3" s="1"/>
  <c r="D42" i="3"/>
  <c r="D64" i="3" s="1"/>
  <c r="C42" i="3"/>
  <c r="C64" i="3" s="1"/>
  <c r="G41" i="3"/>
  <c r="F41" i="3"/>
  <c r="E41" i="3"/>
  <c r="D41" i="3"/>
  <c r="C41" i="3"/>
  <c r="G40" i="3"/>
  <c r="G48" i="3" s="1"/>
  <c r="F40" i="3"/>
  <c r="F48" i="3" s="1"/>
  <c r="E40" i="3"/>
  <c r="E48" i="3" s="1"/>
  <c r="D40" i="3"/>
  <c r="D48" i="3" s="1"/>
  <c r="D50" i="3" s="1"/>
  <c r="C40" i="3"/>
  <c r="C48" i="3" s="1"/>
  <c r="C50" i="3" s="1"/>
  <c r="G29" i="3"/>
  <c r="G62" i="3" s="1"/>
  <c r="F29" i="3"/>
  <c r="F62" i="3" s="1"/>
  <c r="E29" i="3"/>
  <c r="E62" i="3" s="1"/>
  <c r="D29" i="3"/>
  <c r="D62" i="3" s="1"/>
  <c r="C29" i="3"/>
  <c r="C62" i="3" s="1"/>
  <c r="G27" i="3"/>
  <c r="F27" i="3"/>
  <c r="E27" i="3"/>
  <c r="D27" i="3"/>
  <c r="C27" i="3"/>
  <c r="G26" i="3"/>
  <c r="G28" i="3" s="1"/>
  <c r="G37" i="3" s="1"/>
  <c r="F26" i="3"/>
  <c r="F28" i="3" s="1"/>
  <c r="F37" i="3" s="1"/>
  <c r="E26" i="3"/>
  <c r="E28" i="3" s="1"/>
  <c r="E37" i="3" s="1"/>
  <c r="D26" i="3"/>
  <c r="D28" i="3" s="1"/>
  <c r="D37" i="3" s="1"/>
  <c r="C26" i="3"/>
  <c r="C28" i="3" s="1"/>
  <c r="C37" i="3" s="1"/>
  <c r="G25" i="3"/>
  <c r="F25" i="3"/>
  <c r="E25" i="3"/>
  <c r="D25" i="3"/>
  <c r="C25" i="3"/>
  <c r="G21" i="3"/>
  <c r="C6" i="5" s="1"/>
  <c r="G16" i="3"/>
  <c r="G20" i="3" s="1"/>
  <c r="C18" i="5" s="1"/>
  <c r="F16" i="3"/>
  <c r="F20" i="3" s="1"/>
  <c r="E16" i="3"/>
  <c r="E20" i="3" s="1"/>
  <c r="G14" i="3"/>
  <c r="C17" i="5" s="1"/>
  <c r="F14" i="3"/>
  <c r="E14" i="3"/>
  <c r="D14" i="3"/>
  <c r="D16" i="3" s="1"/>
  <c r="D20" i="3" s="1"/>
  <c r="C14" i="3"/>
  <c r="C16" i="3" s="1"/>
  <c r="C20" i="3" s="1"/>
  <c r="G13" i="3"/>
  <c r="C16" i="5" s="1"/>
  <c r="F13" i="3"/>
  <c r="E13" i="3"/>
  <c r="G12" i="3"/>
  <c r="C15" i="5" s="1"/>
  <c r="F12" i="3"/>
  <c r="E12" i="3"/>
  <c r="D12" i="3"/>
  <c r="D13" i="3" s="1"/>
  <c r="C12" i="3"/>
  <c r="C13" i="3" s="1"/>
  <c r="G11" i="3"/>
  <c r="F11" i="3"/>
  <c r="E11" i="3"/>
  <c r="D11" i="3"/>
  <c r="C15" i="4" s="1"/>
  <c r="C11" i="3"/>
  <c r="G10" i="3"/>
  <c r="C14" i="5" s="1"/>
  <c r="F10" i="3"/>
  <c r="E10" i="3"/>
  <c r="D10" i="3"/>
  <c r="C10" i="3"/>
  <c r="G9" i="3"/>
  <c r="C9" i="5" s="1"/>
  <c r="F9" i="3"/>
  <c r="F78" i="3" s="1"/>
  <c r="E9" i="3"/>
  <c r="E78" i="3" s="1"/>
  <c r="D9" i="3"/>
  <c r="D78" i="3" s="1"/>
  <c r="C9" i="3"/>
  <c r="C78" i="3" s="1"/>
  <c r="G8" i="3"/>
  <c r="G71" i="3" s="1"/>
  <c r="F8" i="3"/>
  <c r="F71" i="3" s="1"/>
  <c r="E8" i="3"/>
  <c r="E71" i="3" s="1"/>
  <c r="D8" i="3"/>
  <c r="D71" i="3" s="1"/>
  <c r="C8" i="3"/>
  <c r="C71" i="3" s="1"/>
  <c r="G7" i="3"/>
  <c r="C13" i="5" s="1"/>
  <c r="D13" i="5" s="1"/>
  <c r="E13" i="5" s="1"/>
  <c r="F13" i="5" s="1"/>
  <c r="G13" i="5" s="1"/>
  <c r="H13" i="5" s="1"/>
  <c r="I13" i="5" s="1"/>
  <c r="J13" i="5" s="1"/>
  <c r="K13" i="5" s="1"/>
  <c r="F7" i="3"/>
  <c r="E7" i="3"/>
  <c r="D7" i="3"/>
  <c r="C7" i="3"/>
  <c r="G6" i="3"/>
  <c r="G77" i="3" s="1"/>
  <c r="C8" i="5" s="1"/>
  <c r="F6" i="3"/>
  <c r="F77" i="3" s="1"/>
  <c r="E6" i="3"/>
  <c r="E77" i="3" s="1"/>
  <c r="D6" i="3"/>
  <c r="D19" i="3" s="1"/>
  <c r="C6" i="3"/>
  <c r="C19" i="3" s="1"/>
  <c r="G5" i="3"/>
  <c r="C5" i="5" s="1"/>
  <c r="F5" i="3"/>
  <c r="F79" i="3" s="1"/>
  <c r="E5" i="3"/>
  <c r="E79" i="3" s="1"/>
  <c r="D5" i="3"/>
  <c r="D79" i="3" s="1"/>
  <c r="C5" i="3"/>
  <c r="D21" i="3" s="1"/>
  <c r="G4" i="3"/>
  <c r="F4" i="3"/>
  <c r="E4" i="3"/>
  <c r="D4" i="3"/>
  <c r="C4" i="3"/>
  <c r="I21" i="4" l="1"/>
  <c r="H6" i="5"/>
  <c r="E65" i="3"/>
  <c r="E70" i="3"/>
  <c r="C40" i="6"/>
  <c r="C35" i="4"/>
  <c r="C36" i="4"/>
  <c r="D36" i="4" s="1"/>
  <c r="C63" i="4"/>
  <c r="C23" i="4"/>
  <c r="F65" i="3"/>
  <c r="F70" i="3"/>
  <c r="F72" i="3" s="1"/>
  <c r="C70" i="4"/>
  <c r="C38" i="6" s="1"/>
  <c r="G65" i="3"/>
  <c r="C88" i="4"/>
  <c r="C95" i="4" s="1"/>
  <c r="G70" i="3"/>
  <c r="C64" i="4" s="1"/>
  <c r="F50" i="3"/>
  <c r="D5" i="5"/>
  <c r="C25" i="5"/>
  <c r="E50" i="3"/>
  <c r="D72" i="3"/>
  <c r="G50" i="3"/>
  <c r="H23" i="4"/>
  <c r="I23" i="4" s="1"/>
  <c r="J23" i="4" s="1"/>
  <c r="K23" i="4" s="1"/>
  <c r="G24" i="4"/>
  <c r="E72" i="3"/>
  <c r="C70" i="3"/>
  <c r="C72" i="3" s="1"/>
  <c r="C65" i="3"/>
  <c r="D70" i="3"/>
  <c r="D65" i="3"/>
  <c r="C18" i="3"/>
  <c r="C80" i="3" s="1"/>
  <c r="D18" i="3"/>
  <c r="D80" i="3" s="1"/>
  <c r="C27" i="5"/>
  <c r="C12" i="5"/>
  <c r="C26" i="5"/>
  <c r="F18" i="3"/>
  <c r="F80" i="3" s="1"/>
  <c r="G78" i="3"/>
  <c r="C77" i="3"/>
  <c r="C79" i="3"/>
  <c r="C20" i="5"/>
  <c r="E19" i="3"/>
  <c r="F21" i="3"/>
  <c r="F19" i="3"/>
  <c r="G19" i="3"/>
  <c r="D77" i="3"/>
  <c r="C6" i="8"/>
  <c r="C57" i="4" s="1"/>
  <c r="C59" i="4" s="1"/>
  <c r="E18" i="3"/>
  <c r="E80" i="3" s="1"/>
  <c r="G18" i="3"/>
  <c r="G80" i="3" s="1"/>
  <c r="E21" i="3"/>
  <c r="C21" i="4" s="1"/>
  <c r="F24" i="4"/>
  <c r="C7" i="5"/>
  <c r="G79" i="3"/>
  <c r="H22" i="4"/>
  <c r="J21" i="4" l="1"/>
  <c r="I6" i="5"/>
  <c r="H24" i="4"/>
  <c r="H8" i="5"/>
  <c r="I22" i="4"/>
  <c r="D7" i="5"/>
  <c r="D9" i="5"/>
  <c r="D8" i="6" s="1"/>
  <c r="D25" i="5"/>
  <c r="D30" i="4"/>
  <c r="D9" i="6" s="1"/>
  <c r="E5" i="5"/>
  <c r="C71" i="4"/>
  <c r="K12" i="5"/>
  <c r="J12" i="5"/>
  <c r="I12" i="5"/>
  <c r="H12" i="5"/>
  <c r="G12" i="5"/>
  <c r="F12" i="5"/>
  <c r="E12" i="5"/>
  <c r="D12" i="5"/>
  <c r="D26" i="5"/>
  <c r="E36" i="4"/>
  <c r="C24" i="4"/>
  <c r="C29" i="4"/>
  <c r="F29" i="4" s="1"/>
  <c r="G72" i="3"/>
  <c r="C36" i="6"/>
  <c r="C10" i="5"/>
  <c r="C11" i="5"/>
  <c r="C22" i="4"/>
  <c r="C65" i="4"/>
  <c r="C66" i="4" s="1"/>
  <c r="K21" i="4" l="1"/>
  <c r="K6" i="5" s="1"/>
  <c r="J6" i="5"/>
  <c r="I24" i="4"/>
  <c r="I8" i="5"/>
  <c r="J22" i="4"/>
  <c r="C72" i="4"/>
  <c r="C76" i="4"/>
  <c r="D10" i="5"/>
  <c r="K36" i="4"/>
  <c r="K26" i="5" s="1"/>
  <c r="J36" i="4"/>
  <c r="J26" i="5" s="1"/>
  <c r="I36" i="4"/>
  <c r="I26" i="5" s="1"/>
  <c r="H36" i="4"/>
  <c r="H26" i="5" s="1"/>
  <c r="G36" i="4"/>
  <c r="G26" i="5" s="1"/>
  <c r="E26" i="5"/>
  <c r="F36" i="4"/>
  <c r="F26" i="5" s="1"/>
  <c r="D34" i="5"/>
  <c r="D10" i="6" s="1"/>
  <c r="D27" i="5"/>
  <c r="C75" i="4"/>
  <c r="E7" i="5"/>
  <c r="E9" i="5"/>
  <c r="E8" i="6" s="1"/>
  <c r="E25" i="5"/>
  <c r="F5" i="5"/>
  <c r="F30" i="4" s="1"/>
  <c r="F9" i="6" s="1"/>
  <c r="E30" i="4"/>
  <c r="E9" i="6" s="1"/>
  <c r="K29" i="4"/>
  <c r="J29" i="4"/>
  <c r="I29" i="4"/>
  <c r="H29" i="4"/>
  <c r="G29" i="4"/>
  <c r="K17" i="6" l="1"/>
  <c r="K18" i="6" s="1"/>
  <c r="C27" i="6" s="1"/>
  <c r="F2" i="7"/>
  <c r="J17" i="6"/>
  <c r="J18" i="6" s="1"/>
  <c r="I17" i="6"/>
  <c r="I18" i="6" s="1"/>
  <c r="H17" i="6"/>
  <c r="H18" i="6" s="1"/>
  <c r="G17" i="6"/>
  <c r="G18" i="6" s="1"/>
  <c r="F17" i="6"/>
  <c r="F18" i="6" s="1"/>
  <c r="E17" i="6"/>
  <c r="E18" i="6" s="1"/>
  <c r="D17" i="6"/>
  <c r="D18" i="6" s="1"/>
  <c r="E10" i="5"/>
  <c r="D5" i="6"/>
  <c r="D11" i="5"/>
  <c r="D14" i="5"/>
  <c r="E27" i="5"/>
  <c r="E34" i="5"/>
  <c r="E10" i="6" s="1"/>
  <c r="F7" i="5"/>
  <c r="F9" i="5"/>
  <c r="F8" i="6" s="1"/>
  <c r="F25" i="5"/>
  <c r="F27" i="5" s="1"/>
  <c r="G5" i="5"/>
  <c r="G30" i="4"/>
  <c r="G9" i="6" s="1"/>
  <c r="C24" i="6"/>
  <c r="C77" i="4"/>
  <c r="J24" i="4"/>
  <c r="J8" i="5"/>
  <c r="K22" i="4"/>
  <c r="F34" i="5" l="1"/>
  <c r="F10" i="6" s="1"/>
  <c r="F10" i="5"/>
  <c r="F5" i="6" s="1"/>
  <c r="F14" i="5"/>
  <c r="K8" i="5"/>
  <c r="K24" i="4"/>
  <c r="G9" i="5"/>
  <c r="G8" i="6" s="1"/>
  <c r="G25" i="5"/>
  <c r="H5" i="5"/>
  <c r="G7" i="5"/>
  <c r="D6" i="6"/>
  <c r="D7" i="6" s="1"/>
  <c r="D11" i="6" s="1"/>
  <c r="E5" i="6"/>
  <c r="E11" i="5"/>
  <c r="E14" i="5"/>
  <c r="D15" i="5"/>
  <c r="D16" i="5" s="1"/>
  <c r="F11" i="5" l="1"/>
  <c r="G10" i="5"/>
  <c r="D19" i="6"/>
  <c r="G11" i="5"/>
  <c r="G14" i="5"/>
  <c r="G5" i="6"/>
  <c r="H9" i="5"/>
  <c r="H8" i="6" s="1"/>
  <c r="H25" i="5"/>
  <c r="I5" i="5"/>
  <c r="H7" i="5"/>
  <c r="H30" i="4"/>
  <c r="H9" i="6" s="1"/>
  <c r="G34" i="5"/>
  <c r="G10" i="6" s="1"/>
  <c r="G27" i="5"/>
  <c r="D17" i="5"/>
  <c r="D20" i="5" s="1"/>
  <c r="D18" i="5" s="1"/>
  <c r="E15" i="5"/>
  <c r="E16" i="5" s="1"/>
  <c r="F15" i="5"/>
  <c r="F16" i="5" s="1"/>
  <c r="E6" i="6"/>
  <c r="E7" i="6" s="1"/>
  <c r="E11" i="6" s="1"/>
  <c r="F6" i="6"/>
  <c r="F7" i="6" s="1"/>
  <c r="F11" i="6" s="1"/>
  <c r="H10" i="5" l="1"/>
  <c r="E17" i="5"/>
  <c r="E20" i="5" s="1"/>
  <c r="E18" i="5" s="1"/>
  <c r="G6" i="6"/>
  <c r="G7" i="6" s="1"/>
  <c r="G11" i="6" s="1"/>
  <c r="E19" i="6"/>
  <c r="E12" i="6"/>
  <c r="I25" i="5"/>
  <c r="J5" i="5"/>
  <c r="I7" i="5"/>
  <c r="I9" i="5"/>
  <c r="I8" i="6" s="1"/>
  <c r="I30" i="4"/>
  <c r="I9" i="6" s="1"/>
  <c r="H34" i="5"/>
  <c r="H10" i="6" s="1"/>
  <c r="H27" i="5"/>
  <c r="G15" i="5"/>
  <c r="G16" i="5" s="1"/>
  <c r="F19" i="6"/>
  <c r="F12" i="6"/>
  <c r="H11" i="5"/>
  <c r="H14" i="5"/>
  <c r="H5" i="6"/>
  <c r="F17" i="5"/>
  <c r="F20" i="5" s="1"/>
  <c r="F18" i="5" s="1"/>
  <c r="H6" i="6" l="1"/>
  <c r="H7" i="6" s="1"/>
  <c r="H11" i="6" s="1"/>
  <c r="H15" i="5"/>
  <c r="H16" i="5" s="1"/>
  <c r="I10" i="5"/>
  <c r="I34" i="5"/>
  <c r="I10" i="6" s="1"/>
  <c r="I27" i="5"/>
  <c r="G19" i="6"/>
  <c r="G12" i="6"/>
  <c r="J25" i="5"/>
  <c r="K5" i="5"/>
  <c r="J7" i="5"/>
  <c r="J9" i="5"/>
  <c r="J8" i="6" s="1"/>
  <c r="J30" i="4"/>
  <c r="J9" i="6" s="1"/>
  <c r="G17" i="5"/>
  <c r="G20" i="5" s="1"/>
  <c r="G18" i="5" s="1"/>
  <c r="J10" i="5" l="1"/>
  <c r="I11" i="5"/>
  <c r="I14" i="5"/>
  <c r="I5" i="6"/>
  <c r="J11" i="5"/>
  <c r="J14" i="5"/>
  <c r="J5" i="6"/>
  <c r="J27" i="5"/>
  <c r="J34" i="5"/>
  <c r="J10" i="6" s="1"/>
  <c r="H17" i="5"/>
  <c r="H20" i="5" s="1"/>
  <c r="H18" i="5" s="1"/>
  <c r="H12" i="6"/>
  <c r="H19" i="6"/>
  <c r="K7" i="5"/>
  <c r="K9" i="5"/>
  <c r="K8" i="6" s="1"/>
  <c r="K25" i="5"/>
  <c r="K30" i="4"/>
  <c r="K9" i="6" s="1"/>
  <c r="J6" i="6" l="1"/>
  <c r="J7" i="6" s="1"/>
  <c r="J11" i="6" s="1"/>
  <c r="J15" i="5"/>
  <c r="J16" i="5" s="1"/>
  <c r="K27" i="5"/>
  <c r="K34" i="5"/>
  <c r="K10" i="6" s="1"/>
  <c r="I6" i="6"/>
  <c r="I7" i="6" s="1"/>
  <c r="I11" i="6" s="1"/>
  <c r="K10" i="5"/>
  <c r="I15" i="5"/>
  <c r="I16" i="5" s="1"/>
  <c r="I12" i="6" l="1"/>
  <c r="I19" i="6"/>
  <c r="J12" i="6"/>
  <c r="J19" i="6"/>
  <c r="K14" i="5"/>
  <c r="K5" i="6"/>
  <c r="K11" i="5"/>
  <c r="J17" i="5"/>
  <c r="J20" i="5" s="1"/>
  <c r="J18" i="5" s="1"/>
  <c r="I17" i="5"/>
  <c r="I20" i="5" s="1"/>
  <c r="I18" i="5" s="1"/>
  <c r="K6" i="6" l="1"/>
  <c r="K7" i="6" s="1"/>
  <c r="K11" i="6" s="1"/>
  <c r="K15" i="5"/>
  <c r="K16" i="5" s="1"/>
  <c r="K12" i="6" l="1"/>
  <c r="C22" i="6"/>
  <c r="C25" i="6" s="1"/>
  <c r="C26" i="6" s="1"/>
  <c r="C28" i="6" s="1"/>
  <c r="C34" i="6" s="1"/>
  <c r="K19" i="6"/>
  <c r="C33" i="6" s="1"/>
  <c r="C35" i="6" s="1"/>
  <c r="C42" i="6" s="1"/>
  <c r="C45" i="6" s="1"/>
  <c r="E12" i="7"/>
  <c r="F6" i="7"/>
  <c r="G7" i="7"/>
  <c r="H8" i="7"/>
  <c r="E11" i="7"/>
  <c r="F5" i="7"/>
  <c r="G10" i="7"/>
  <c r="I12" i="7"/>
  <c r="D9" i="7"/>
  <c r="D8" i="7"/>
  <c r="D5" i="7"/>
  <c r="C10" i="7"/>
  <c r="G12" i="7"/>
  <c r="D12" i="7"/>
  <c r="E6" i="7"/>
  <c r="F7" i="7"/>
  <c r="G8" i="7"/>
  <c r="E5" i="7"/>
  <c r="H10" i="7"/>
  <c r="C6" i="7"/>
  <c r="H9" i="7"/>
  <c r="E9" i="7"/>
  <c r="H5" i="7"/>
  <c r="I10" i="7"/>
  <c r="C5" i="7"/>
  <c r="D6" i="7"/>
  <c r="E7" i="7"/>
  <c r="I9" i="7"/>
  <c r="F12" i="7"/>
  <c r="C8" i="7"/>
  <c r="G9" i="7"/>
  <c r="G6" i="7"/>
  <c r="F11" i="7"/>
  <c r="H7" i="7"/>
  <c r="F9" i="7"/>
  <c r="C12" i="7"/>
  <c r="I5" i="7"/>
  <c r="F8" i="7"/>
  <c r="C11" i="7"/>
  <c r="H11" i="7"/>
  <c r="C7" i="7"/>
  <c r="E10" i="7"/>
  <c r="I8" i="7"/>
  <c r="D11" i="7"/>
  <c r="I11" i="7"/>
  <c r="D7" i="7"/>
  <c r="F10" i="7"/>
  <c r="H6" i="7"/>
  <c r="G5" i="7"/>
  <c r="G11" i="7"/>
  <c r="E8" i="7"/>
  <c r="I7" i="7"/>
  <c r="C9" i="7"/>
  <c r="D10" i="7"/>
  <c r="H12" i="7"/>
  <c r="I6" i="7"/>
  <c r="K17" i="5"/>
  <c r="K20" i="5" s="1"/>
  <c r="K18" i="5" s="1"/>
  <c r="C47" i="6" l="1"/>
  <c r="C4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7" authorId="0" shapeId="0" xr:uid="{00000000-0006-0000-0200-000001000000}">
      <text>
        <r>
          <rPr>
            <sz val="10"/>
            <rFont val="Arial"/>
            <family val="2"/>
          </rPr>
          <t>Redefined to clean operating working capital (trade cycle).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300-000006000000}">
      <text>
        <r>
          <rPr>
            <sz val="10"/>
            <rFont val="Arial"/>
            <family val="2"/>
          </rPr>
          <t>IT Sub-sectors:
Pure-Play IT Services: TCS, Infosys, Wipro
IT + BPO: HCL Tech, Mphasis
Product + Platform: Tata Elxsi, KPIT
Engineering Services: L&amp;T Tech, Cyient</t>
        </r>
      </text>
    </comment>
    <comment ref="C15" authorId="0" shapeId="0" xr:uid="{00000000-0006-0000-0300-000007000000}">
      <text>
        <r>
          <rPr>
            <sz val="10"/>
            <rFont val="Arial"/>
            <family val="2"/>
          </rPr>
          <t>USE EFFECTIVE TAX RATE — not 25.2% statutory
IT companies pay less because of:
• SEZ (Special Economic Zones) tax holidays
• STPI (Software Tech Parks) exemptions
• Export income deductions
Where: Screener.in → P&amp;L tab → 'Tax %' row
Take 3-year average.
Benchmarks: TCS ~22%, Infosys ~21%, HCL ~21%</t>
        </r>
      </text>
    </comment>
    <comment ref="B23" authorId="0" shapeId="0" xr:uid="{00000000-0006-0000-0300-000001000000}">
      <text>
        <r>
          <rPr>
            <sz val="10"/>
            <rFont val="Arial"/>
            <family val="2"/>
          </rPr>
          <t>IT-SPECIFIC: D&amp;A is TRENDING UP because:
1. Ind AS 116: office leases now capitalised
2. Delivery centre expansions
How to get FY2027-28:
Trendlyne → EBITDA Margin - EBIT Margin = D&amp;A%</t>
        </r>
      </text>
    </comment>
    <comment ref="B29" authorId="0" shapeId="0" xr:uid="{00000000-0006-0000-0300-000002000000}">
      <text>
        <r>
          <rPr>
            <sz val="10"/>
            <rFont val="Arial"/>
            <family val="2"/>
          </rPr>
          <t>Enter CAPEX as % of REVENUE — not ₹ Cr
IT capex scales with headcount/revenue.
FY2027-28: Trendlyne capex estimate ÷ revenue estimate
FY2029-34: Held flat at FY2028 rate (stable)
Benchmarks:
TCS: ~1.5% | Infosys: ~2% | HCL: ~2.5% | Wipro: ~2%</t>
        </r>
      </text>
    </comment>
    <comment ref="B35" authorId="0" shapeId="0" xr:uid="{00000000-0006-0000-0300-000003000000}">
      <text>
        <r>
          <rPr>
            <sz val="10"/>
            <rFont val="Arial"/>
            <family val="2"/>
          </rPr>
          <t>Historical NWC % shows how much working capital the company needs
as a % of revenue. Trend matters:
Declining % = improving cash conversion (good)
Rising % = more cash tied up in WC (bad)
HCL trend: ~14% (FY22) → ~6% (FY26) = improving ✅
Individual years shown in columns D-H for full picture.</t>
        </r>
      </text>
    </comment>
    <comment ref="B36" authorId="0" shapeId="0" xr:uid="{00000000-0006-0000-0300-000004000000}">
      <text>
        <r>
          <rPr>
            <sz val="10"/>
            <rFont val="Arial"/>
            <family val="2"/>
          </rPr>
          <t>PRIMARY DRIVER — this single % drives all WC projections
How NWC grows automatically:
→ Projected NWC = NWC% × Projected Revenue
→ Revenue grows each year → NWC grows proportionally
→ ΔWC = cash consumed each year by WC growth
No separate assumptions needed for debtors, creditors etc.
To override FY2027-28:
1. Click D36 or E36 → type your % directly
2. Source: Trendlyne Forecaster → WC line
   OR use last year's actual NWC% as proxy</t>
        </r>
      </text>
    </comment>
    <comment ref="C36" authorId="0" shapeId="0" xr:uid="{00000000-0006-0000-0300-000008000000}">
      <text>
        <r>
          <rPr>
            <sz val="10"/>
            <rFont val="Arial"/>
            <family val="2"/>
          </rPr>
          <t>KEY LEVER - Projected operating NWC % (5Y weighted avg of clean series ~15.8%). Series improving (16.7%-&gt;12.4%). Lower toward ~12% if recent efficiency holds; ~9-10% if including operating accruals.</t>
        </r>
      </text>
    </comment>
    <comment ref="C55" authorId="0" shapeId="0" xr:uid="{00000000-0006-0000-0300-000009000000}">
      <text>
        <r>
          <rPr>
            <sz val="10"/>
            <rFont val="Arial"/>
            <family val="2"/>
          </rPr>
          <t>Use India 10-Year G-Sec yield
Sources:
1. investing.com → 'India 10 Year Bond'
2. rbi.org.in → Government Securities
Current (May 2026): ~7.0-7.1%
Always use CURRENT yield, not historical avg.</t>
        </r>
      </text>
    </comment>
    <comment ref="C56" authorId="0" shapeId="0" xr:uid="{00000000-0006-0000-0300-00000A000000}">
      <text>
        <r>
          <rPr>
            <sz val="10"/>
            <rFont val="Arial"/>
            <family val="2"/>
          </rPr>
          <t>Damodaran ERP — gold standard source
URL: pages.stern.nyu.edu/~adamodar
→ Click 'Implied ERP'
→ Find India row
→ Use 'Implied ERP (FCFE)' column
Current India ERP (2026): ~7.0-7.5%
Updated monthly — always use latest</t>
        </r>
      </text>
    </comment>
    <comment ref="C82" authorId="0" shapeId="0" xr:uid="{00000000-0006-0000-0300-00000B000000}">
      <text>
        <r>
          <rPr>
            <sz val="10"/>
            <rFont val="Arial"/>
            <family val="2"/>
          </rPr>
          <t>IT companies invest cash in:
• Liquid mutual funds (~6.5-7%)
• Fixed Deposits (~7%)
• Short-term bonds (~7%)
Use 6.5% as conservative estimate.
This drives projected Other Income.</t>
        </r>
      </text>
    </comment>
    <comment ref="B95" authorId="0" shapeId="0" xr:uid="{00000000-0006-0000-0300-000005000000}">
      <text>
        <r>
          <rPr>
            <sz val="10"/>
            <rFont val="Arial"/>
            <family val="2"/>
          </rPr>
          <t>Most large IT companies are NET CASH:
TCS: ~₹60,000 Cr net cash
Infosys: ~₹35,000 Cr net cash
HCL Tech: ~₹18,000 Cr net cash
If positive: add this to Enterprise Value
to get Equity Value (already in bridge formula)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2" authorId="0" shapeId="0" xr:uid="{00000000-0006-0000-0400-000001000000}">
      <text>
        <r>
          <rPr>
            <sz val="10"/>
            <rFont val="Arial"/>
            <family val="2"/>
          </rPr>
          <t>Interest held flat at last actual. Debt schedule removed - unlevered FCFF model, debt never affects intrinsic value. Only current net cash (equity bridge) is used.</t>
        </r>
      </text>
    </comment>
    <comment ref="B13" authorId="0" shapeId="0" xr:uid="{00000000-0006-0000-0400-000002000000}">
      <text>
        <r>
          <rPr>
            <sz val="10"/>
            <rFont val="Arial"/>
            <family val="2"/>
          </rPr>
          <t>IT-SPECIFIC: Other Income is projected as:
= Net Cash Balance (end of prior year) × Treasury Yield %
This is more accurate than flat carry-forward because:
IT companies (TCS, Infy, HCL) earn ₹3,000-6,000 Cr/year
in interest/dividend income on their cash piles.
As FCF accumulates, cash grows → Other Income grows.
Treasury Yield assumption is in Assumptions Section G.</t>
        </r>
      </text>
    </comment>
    <comment ref="B26" authorId="0" shapeId="0" xr:uid="{00000000-0006-0000-0400-000003000000}">
      <text>
        <r>
          <rPr>
            <sz val="10"/>
            <rFont val="Arial"/>
            <family val="2"/>
          </rPr>
          <t>Linked from Assumptions Section D row 36.
FY2026 = actual NWC% calculated from Hist Data.
FY2027-28 = your input in Assumptions.
FY2029+ = auto (flat at FY2028 level).</t>
        </r>
      </text>
    </comment>
    <comment ref="B27" authorId="0" shapeId="0" xr:uid="{00000000-0006-0000-0400-000004000000}">
      <text>
        <r>
          <rPr>
            <sz val="10"/>
            <color rgb="FF000000"/>
            <rFont val="Arial"/>
            <family val="2"/>
          </rPr>
          <t xml:space="preserve">NWC (₹ Cr) = NWC% 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 xml:space="preserve"> Revenue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FY2026 = actual from Hist Data BS
</t>
        </r>
        <r>
          <rPr>
            <sz val="10"/>
            <color rgb="FF000000"/>
            <rFont val="Arial"/>
            <family val="2"/>
          </rPr>
          <t xml:space="preserve">FY2027+ = NWC% assumption 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 xml:space="preserve"> projected revenue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As revenue grows, NWC grows proportionally.
</t>
        </r>
        <r>
          <rPr>
            <sz val="10"/>
            <color rgb="FF000000"/>
            <rFont val="Arial"/>
            <family val="2"/>
          </rPr>
          <t>This is the cash tied up in working capital.</t>
        </r>
      </text>
    </comment>
    <comment ref="B34" authorId="0" shapeId="0" xr:uid="{00000000-0006-0000-0400-000005000000}">
      <text>
        <r>
          <rPr>
            <sz val="10"/>
            <rFont val="Arial"/>
            <family val="2"/>
          </rPr>
          <t>ΔWC = NWC% x (Revenue_t - Revenue_t-1): WC charged only on incremental revenue. Removes the prior one-time FY27 catch-up.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6" authorId="0" shapeId="0" xr:uid="{00000000-0006-0000-0500-000001000000}">
      <text>
        <r>
          <rPr>
            <sz val="10"/>
            <rFont val="Arial"/>
            <family val="2"/>
          </rPr>
          <t>If this number is POSITIVE → company is NET CASH
(Cash &gt; Debt). This is typical for TCS, Infosys.
In the equity bridge below:
EV + Cash - Debt = EV + Net Cash (positive adds to equity value)
If NEGATIVE → company is NET DEBT (Debt &gt; Cash)
This is less common for large-cap IT but applies to some mid-caps.</t>
        </r>
      </text>
    </comment>
    <comment ref="C45" authorId="0" shapeId="0" xr:uid="{00000000-0006-0000-0500-000002000000}">
      <text>
        <r>
          <rPr>
            <sz val="10"/>
            <rFont val="Arial"/>
            <family val="2"/>
          </rPr>
          <t>IT Valuation Sanity Checks:
P/E implied = Intrinsic Value ÷ EPS
P/FCF implied = Intrinsic Value ÷ FCF per share
IT sector typical ranges:
P/E: 20-30x for large-cap (TCS/Infy)
EV/EBITDA: 15-25x for large-cap
FCF Yield: 3-5% at fair value
If your intrinsic value implies &gt;35x P/E,
check your growth and margin assumptions.</t>
        </r>
      </text>
    </comment>
    <comment ref="C48" authorId="0" shapeId="0" xr:uid="{00000000-0006-0000-0500-000003000000}">
      <text>
        <r>
          <rPr>
            <sz val="10"/>
            <color rgb="FF000000"/>
            <rFont val="Arial"/>
            <family val="2"/>
          </rPr>
          <t xml:space="preserve">VERDICT THRESHOLDS:
</t>
        </r>
        <r>
          <rPr>
            <sz val="10"/>
            <color rgb="FF000000"/>
            <rFont val="Arial"/>
            <family val="2"/>
          </rPr>
          <t>🟢</t>
        </r>
        <r>
          <rPr>
            <sz val="10"/>
            <color rgb="FF000000"/>
            <rFont val="Arial"/>
            <family val="2"/>
          </rPr>
          <t xml:space="preserve"> UNDERVALUED: Intrinsic &gt; CMP by &gt;10%
</t>
        </r>
        <r>
          <rPr>
            <sz val="10"/>
            <color rgb="FF000000"/>
            <rFont val="Arial"/>
            <family val="2"/>
          </rPr>
          <t>🟡</t>
        </r>
        <r>
          <rPr>
            <sz val="10"/>
            <color rgb="FF000000"/>
            <rFont val="Arial"/>
            <family val="2"/>
          </rPr>
          <t xml:space="preserve"> FAIRLY VALUED: Within </t>
        </r>
        <r>
          <rPr>
            <sz val="10"/>
            <color rgb="FF000000"/>
            <rFont val="Arial"/>
            <family val="2"/>
          </rPr>
          <t>±</t>
        </r>
        <r>
          <rPr>
            <sz val="10"/>
            <color rgb="FF000000"/>
            <rFont val="Arial"/>
            <family val="2"/>
          </rPr>
          <t xml:space="preserve">10% of CMP
</t>
        </r>
        <r>
          <rPr>
            <sz val="10"/>
            <color rgb="FF000000"/>
            <rFont val="Arial"/>
            <family val="2"/>
          </rPr>
          <t>🔴</t>
        </r>
        <r>
          <rPr>
            <sz val="10"/>
            <color rgb="FF000000"/>
            <rFont val="Arial"/>
            <family val="2"/>
          </rPr>
          <t xml:space="preserve"> OVERVALUED: CMP &gt; Intrinsic by &gt;10%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IT-specific note: Market often prices IT at premium
</t>
        </r>
        <r>
          <rPr>
            <sz val="10"/>
            <color rgb="FF000000"/>
            <rFont val="Arial"/>
            <family val="2"/>
          </rPr>
          <t xml:space="preserve">to DCF intrinsic value due to quality premium.
</t>
        </r>
        <r>
          <rPr>
            <sz val="10"/>
            <color rgb="FF000000"/>
            <rFont val="Arial"/>
            <family val="2"/>
          </rPr>
          <t xml:space="preserve">A 'OVERVALUED' verdict doesn't mean sell —
</t>
        </r>
        <r>
          <rPr>
            <sz val="10"/>
            <color rgb="FF000000"/>
            <rFont val="Arial"/>
            <family val="2"/>
          </rPr>
          <t>check vs sensitivity table for margin of safety.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600-000001000000}">
      <text>
        <r>
          <rPr>
            <sz val="10"/>
            <color rgb="FF000000"/>
            <rFont val="Arial"/>
            <family val="2"/>
          </rPr>
          <t>Auto-populating: =[sum of FCFF discounted at this row WACC] + [terminal value at this WACC &amp; column g, discounted back 8y] + net cash, all over shares. Updates live with the model.</t>
        </r>
      </text>
    </comment>
  </commentList>
</comments>
</file>

<file path=xl/sharedStrings.xml><?xml version="1.0" encoding="utf-8"?>
<sst xmlns="http://schemas.openxmlformats.org/spreadsheetml/2006/main" count="673" uniqueCount="554">
  <si>
    <t>COMPANY NAME</t>
  </si>
  <si>
    <t>HCL TECHNOLOGIES LTD</t>
  </si>
  <si>
    <t>LATEST VERSION</t>
  </si>
  <si>
    <t>Do Not Make any changes to this sheet</t>
  </si>
  <si>
    <t>CURRENT VERSION</t>
  </si>
  <si>
    <t>This sheet is auto popuated by Screener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</si>
  <si>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</si>
  <si>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</si>
  <si>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</si>
  <si>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</si>
  <si>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</si>
  <si>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</si>
  <si>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</si>
  <si>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</si>
  <si>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</si>
  <si>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</si>
  <si>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</si>
  <si>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</si>
  <si>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</si>
  <si>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</si>
  <si>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</si>
  <si>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</si>
  <si>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</si>
  <si>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</si>
  <si>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</si>
  <si>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</si>
  <si>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</si>
  <si>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</si>
  <si>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</si>
  <si>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</si>
  <si>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</si>
  <si>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</si>
  <si>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</si>
  <si>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</si>
  <si>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</si>
  <si>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</si>
  <si>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</si>
  <si>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</si>
  <si>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</si>
  <si>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</si>
  <si>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</si>
  <si>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</si>
  <si>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</si>
  <si>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</si>
  <si>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</si>
  <si>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</si>
  <si>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</si>
  <si>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</si>
  <si>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</si>
  <si>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</si>
  <si>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</si>
  <si>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</si>
  <si>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</si>
  <si>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</si>
  <si>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</si>
  <si>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 xml:space="preserve">Stock Price </t>
  </si>
  <si>
    <t>DCF VALUATION MODEL  v3.0  —  IT / TECHNOLOGY SERVICES</t>
  </si>
  <si>
    <t>Indian Listed IT Companies  ·  Screener.in + Trendlyne + CompaniesMarketCap  ·  IT-Specific Assumptions Engine</t>
  </si>
  <si>
    <t>🖥️  SECTOR: IT / TECHNOLOGY SERVICES</t>
  </si>
  <si>
    <t xml:space="preserve">  COMPANY DETAILS</t>
  </si>
  <si>
    <t>Company Name</t>
  </si>
  <si>
    <t>Ticker</t>
  </si>
  <si>
    <t>Sector</t>
  </si>
  <si>
    <t>Valuation Date</t>
  </si>
  <si>
    <t>Analyst</t>
  </si>
  <si>
    <t xml:space="preserve">  COLOR LEGEND — CRITICAL TO UNDERSTAND</t>
  </si>
  <si>
    <t>Blue / Light blue    →  Historical INPUT  (paste from Screener.in)</t>
  </si>
  <si>
    <t>Blue / Yellow         →  KEY INPUT  (FY2027-28 from Market Screener, or your judgment)</t>
  </si>
  <si>
    <t>Purple / Lavender     →  AUTO-PROJECTED  (formula: taper / TREND / MEDIAN — do not edit)</t>
  </si>
  <si>
    <t>Black / White          →  FORMULA  (auto-calculated — never type here)</t>
  </si>
  <si>
    <t>Green / Green          →  Cross-sheet LINK</t>
  </si>
  <si>
    <t>Red / Orange           →  ERROR CHECK  (must = 0)</t>
  </si>
  <si>
    <t xml:space="preserve">  PROJECTION METHODOLOGY  —  IT SERVICES SPECIFIC</t>
  </si>
  <si>
    <t>Revenue Growth %</t>
  </si>
  <si>
    <t>FY2027-28: Trendlyne Forecaster analyst consensus  →  FY2029-34: Linear taper from FY2028 to terminal g (5–6%) by FY2034</t>
  </si>
  <si>
    <t>EBITDA Margin %</t>
  </si>
  <si>
    <t>FY2027-28: Trendlyne analyst consensus  →  FY2029-34: Excel TREND function on 7 data points. IT margins are structurally stable (20–25% band).</t>
  </si>
  <si>
    <t>D&amp;A / Revenue %</t>
  </si>
  <si>
    <t>FY2027-28: Derived as (EBITDA% − EBIT%) from Trendlyne  →  FY2029-34: TREND function (NOT median — IT D&amp;A is trending up due to Ind AS 116 lease accounting)</t>
  </si>
  <si>
    <t>Capex % Revenue</t>
  </si>
  <si>
    <t>IT-SPECIFIC: Modelled as % of revenue (1.5–3%), NOT absolute ₹ taper. Capex scales with headcount. FY2027-28: Trendlyne. FY2029-34: held flat at FY2028 level.</t>
  </si>
  <si>
    <t>Working Capital</t>
  </si>
  <si>
    <t>NWC % OF REVENUE approach. Historical NWC% auto-calculated from Hist Data. FY2027-28: user inputs NWC% (default = 5Y hist avg). FY2029+: flat at FY2028 level. ΔWC = (NWC% × Revenue_N) − (NWC% × Revenue_N-1). No separate debtor/creditor day assumptions needed.</t>
  </si>
  <si>
    <t>IT-SPECIFIC: Modelled as Net Cash Balance × Treasury Yield %. IT majors earn ₹3,000–6,000 Cr/yr in interest income on cash pile. NOT flat carry-forward.</t>
  </si>
  <si>
    <t>Debt Schedule</t>
  </si>
  <si>
    <t>FY2027-28: Trendlyne Net Debt forecast. FY2029-34: linear to zero (IT companies are net cash). Equity bridge handles NEGATIVE net debt (net cash) correctly.</t>
  </si>
  <si>
    <t xml:space="preserve">  QUICK START — 6 STEPS</t>
  </si>
  <si>
    <t xml:space="preserve">  QUICK START — 7 STEPS  (IT Services)</t>
  </si>
  <si>
    <t>📊 Hist Data</t>
  </si>
  <si>
    <t>Paste 5Y P&amp;L + BS + CF from Screener.in into blue cells. Enter Market Cap &amp; Shares in yellow.</t>
  </si>
  <si>
    <t>Step 1</t>
  </si>
  <si>
    <t>Paste 5Y P&amp;L + BS + CF from Screener.in. Market Cap/Shares from CompaniesMarketCap.com.</t>
  </si>
  <si>
    <t>Step 2</t>
  </si>
  <si>
    <t>📊 Hist Data S5</t>
  </si>
  <si>
    <t>NEW: Paste Unbilled Revenue + Deferred Revenue (5Y) from Screener BS expanded view.</t>
  </si>
  <si>
    <t>Step 3</t>
  </si>
  <si>
    <t>🔑 Assumptions A</t>
  </si>
  <si>
    <t>Company name, ticker, IT sub-sector, tax rate (use Screener effective rate ~20-23%), terminal g.</t>
  </si>
  <si>
    <t>Step 4</t>
  </si>
  <si>
    <t>🔑 Assumptions B</t>
  </si>
  <si>
    <t>Yellow cells: Revenue growth + EBITDA margin + D&amp;A% from Trendlyne Forecaster. Purple = auto.</t>
  </si>
  <si>
    <t>Step 5</t>
  </si>
  <si>
    <t>🔑 Assumptions C</t>
  </si>
  <si>
    <t>Capex % of Revenue (from Trendlyne). WC days including Unbilled + Deferred Revenue days.</t>
  </si>
  <si>
    <t>Step 6</t>
  </si>
  <si>
    <t>🔑 Assumptions F</t>
  </si>
  <si>
    <t>Rf (RBI 10Y G-Sec), ERP (Damodaran India), Beta (Trendlyne). WACC auto-calculated.</t>
  </si>
  <si>
    <t>Step 7</t>
  </si>
  <si>
    <t>💰 FCF &amp; Val</t>
  </si>
  <si>
    <t>Intrinsic value per share auto-populated. Net cash bridge handled automatically.</t>
  </si>
  <si>
    <t xml:space="preserve">  DATA SOURCES — WHERE TO GET EVERY NUMBER</t>
  </si>
  <si>
    <t>What You Need</t>
  </si>
  <si>
    <t>Source</t>
  </si>
  <si>
    <t>Exact Location / Instructions</t>
  </si>
  <si>
    <t>Historical P&amp;L (Sales, EBITDA, D&amp;A, Interest, PAT)</t>
  </si>
  <si>
    <t>Screener.in</t>
  </si>
  <si>
    <t>Company page → P&amp;L tab → Copy 5 years</t>
  </si>
  <si>
    <t>Historical Balance Sheet (Debt, Cash, Receivables, etc.)</t>
  </si>
  <si>
    <t>Company page → Balance Sheet tab → Expand rows</t>
  </si>
  <si>
    <t>Historical Cash Flow (CFO, Capex, FCF)</t>
  </si>
  <si>
    <t>Company page → Cash Flows tab</t>
  </si>
  <si>
    <t>Unbilled Revenue + Deferred Revenue (historical)</t>
  </si>
  <si>
    <t>Balance Sheet → expand "Other Assets" / "Other Liabilities"</t>
  </si>
  <si>
    <t>Beta (3-year)</t>
  </si>
  <si>
    <t>Screener.in / Trendlyne</t>
  </si>
  <si>
    <t>Screener company page (shown directly) OR Trendlyne → Technicals</t>
  </si>
  <si>
    <t>Market Cap + Shares Outstanding (historical)</t>
  </si>
  <si>
    <t>CompaniesMarketCap.com</t>
  </si>
  <si>
    <t>Search company → Market Cap History → Annual data</t>
  </si>
  <si>
    <t>Revenue + EBITDA + Capex forecasts FY2027-28</t>
  </si>
  <si>
    <t>Trendlyne Forecaster</t>
  </si>
  <si>
    <t>Company page → Forecaster tab → Estimates (Premium)</t>
  </si>
  <si>
    <t>Revenue + EBITDA forecasts FY2027-28 (alternative)</t>
  </si>
  <si>
    <t>Market Screener</t>
  </si>
  <si>
    <t>Company → Financials → Estimates (Premium)</t>
  </si>
  <si>
    <t>Risk-Free Rate (10Y G-Sec yield)</t>
  </si>
  <si>
    <t>RBI / Investing.com</t>
  </si>
  <si>
    <t>investing.com → search "India 10 Year Bond Yield" → current yield</t>
  </si>
  <si>
    <t>Equity Risk Premium (India ERP)</t>
  </si>
  <si>
    <t>Damodaran (NYU)</t>
  </si>
  <si>
    <t>pages.stern.nyu.edu/~adamodar → Implied ERP → India</t>
  </si>
  <si>
    <t>Effective Tax Rate</t>
  </si>
  <si>
    <t>P&amp;L tab → Tax % row → use AVERAGE of last 3 years (IT: ~20-23%)</t>
  </si>
  <si>
    <t>Current Market Price (CMP)</t>
  </si>
  <si>
    <t>NSE / BSE / Google</t>
  </si>
  <si>
    <t>Search "[TICKER] share price" → current price</t>
  </si>
  <si>
    <t>HISTORICAL FINANCIALS — IT SERVICES  |  ₹ Crores  |  Upload to screener.in/excel/ → Export to Excel for any company → Dark green cells fill automatically</t>
  </si>
  <si>
    <t>🟢 DARK GREEN = auto from Data Sheet (Screener export)  |  🔵 LIGHT BLUE = manual entry (Screener BS/CF expand view)  |  🟡 YELLOW = manual input (Market Cap, WACC inputs, Trendlyne forecasts)</t>
  </si>
  <si>
    <t xml:space="preserve">  SECTION 1 — PROFIT &amp; LOSS  |  🟢 Dark Green = auto from Screener Data Sheet  |  🔵 Light Blue = manual from Screener expanded view</t>
  </si>
  <si>
    <t>Screener Label</t>
  </si>
  <si>
    <t>SOURCE → WHERE TO GET THIS DATA</t>
  </si>
  <si>
    <t>🟢 AUTO from Data Sheet row 17 (Sales). Screener fills this when you Export to Excel.</t>
  </si>
  <si>
    <t>Operating Profit (EBITDA)</t>
  </si>
  <si>
    <t>🟢 AUTO: EBITDA = PBT + D&amp;A + Interest − Other Income (all from Data Sheet). Cross-check: should match Screener Operating Profit.</t>
  </si>
  <si>
    <t>🟢 AUTO from Data Sheet row 25 (Other Income).</t>
  </si>
  <si>
    <t>🟢 AUTO from Data Sheet row 27 (Interest).</t>
  </si>
  <si>
    <t>Depreciation (D&amp;A)</t>
  </si>
  <si>
    <t>🟢 AUTO from Data Sheet row 26 (Depreciation).</t>
  </si>
  <si>
    <t>Profit Before Tax</t>
  </si>
  <si>
    <t>🟢 AUTO from Data Sheet row 28 (Profit Before Tax).</t>
  </si>
  <si>
    <t>Tax %  (effective)</t>
  </si>
  <si>
    <t>🟢 AUTO: Tax % = Data Sheet Tax Amount ÷ PBT. This is effective tax rate (what company actually paid). IT companies: typically 20-23% due to SEZ/STPI benefits.</t>
  </si>
  <si>
    <t>Tax Amount (₹ Cr)</t>
  </si>
  <si>
    <t>Effective Tax Rate %</t>
  </si>
  <si>
    <t>Net Profit</t>
  </si>
  <si>
    <t>🟢 AUTO from Data Sheet row 30 (Net Profit). Note: this is consolidated PAT. Small diff from PAT to equity due to minority interest.</t>
  </si>
  <si>
    <t>Minority Share</t>
  </si>
  <si>
    <t>🔵 MANUAL: Screener BS → expand Other Liabilities → Non-controlling interest. Enter as NEGATIVE if minority is profitable (reduces equity PAT).</t>
  </si>
  <si>
    <t>PAT to Equity</t>
  </si>
  <si>
    <t>EBIT (₹ Cr)</t>
  </si>
  <si>
    <t>→ Used in Assumptions B. IT range: 20-27%. TCS ~26%, Infosys ~23%, HCL ~20%.</t>
  </si>
  <si>
    <t>PAT to Equity Margin %</t>
  </si>
  <si>
    <t>Revenue Growth % YoY</t>
  </si>
  <si>
    <t>"-"</t>
  </si>
  <si>
    <t>→ Used in Assumptions B. IT avg growth: 8-15% for large caps.</t>
  </si>
  <si>
    <t xml:space="preserve">  SECTION 2 — BALANCE SHEET  |  🟢 Total BS items auto  |  🔵 Borrowings breakdown + Trade Payables = manual (Screener expand)</t>
  </si>
  <si>
    <t xml:space="preserve">    LIABILITIES</t>
  </si>
  <si>
    <t>Equity Capital</t>
  </si>
  <si>
    <t>🟢 AUTO from Data Sheet row 57 (Equity Share Capital).</t>
  </si>
  <si>
    <t>🟢 AUTO from Data Sheet row 58 (Reserves).</t>
  </si>
  <si>
    <t>Total Equity</t>
  </si>
  <si>
    <t>Borrowings (Total)</t>
  </si>
  <si>
    <t>🟢 AUTO from Data Sheet row 59 (Total Borrowings). For LT/ST/Lease breakdown below: manually enter from Screener BS expanded view.</t>
  </si>
  <si>
    <t xml:space="preserve">  Long-Term Borrowings</t>
  </si>
  <si>
    <t>🔵 MANUAL: Screener BS → expand Borrowings → Long Term Borrowings</t>
  </si>
  <si>
    <t xml:space="preserve">  Short-Term Borrowings</t>
  </si>
  <si>
    <t>🔵 MANUAL: Screener BS → expand Borrowings → Short Term Borrowings</t>
  </si>
  <si>
    <t xml:space="preserve">  Lease Liabilities</t>
  </si>
  <si>
    <t>🔵 MANUAL: Screener BS → expand Borrowings → Lease Liabilities (Ind AS 116)</t>
  </si>
  <si>
    <t>Non-Controlling Interest</t>
  </si>
  <si>
    <t>🔵 MANUAL: Screener BS → expand Other Liab → Non-controlling int. Not in Data Sheet.</t>
  </si>
  <si>
    <t>Trade Payables</t>
  </si>
  <si>
    <t>🔵 MANUAL: Screener BS → expand Other Liab → Trade Payables. Not in Data Sheet.</t>
  </si>
  <si>
    <t>Advance From Customers</t>
  </si>
  <si>
    <t>🔵 MANUAL: Screener BS → expand Other Liab → Advance from Customers / Deferred Revenue.</t>
  </si>
  <si>
    <t>Other Liability Items</t>
  </si>
  <si>
    <t>🔵 MANUAL: Screener BS → expand Other Liab → Other liability items. Not in Data Sheet.</t>
  </si>
  <si>
    <t>TOTAL LIABILITIES</t>
  </si>
  <si>
    <t>BS → 'Total Liabilities' — cross-check</t>
  </si>
  <si>
    <t xml:space="preserve">    ASSETS</t>
  </si>
  <si>
    <t>Fixed Assets (Net Block)</t>
  </si>
  <si>
    <t>🟢 AUTO from Data Sheet row 62 (Net Block).</t>
  </si>
  <si>
    <t>Capital WIP</t>
  </si>
  <si>
    <t>🟢 AUTO from Data Sheet row 63 (Capital Work in Progress).</t>
  </si>
  <si>
    <t>🟢 AUTO from Data Sheet row 64 (Investments).</t>
  </si>
  <si>
    <t xml:space="preserve">  Inventories</t>
  </si>
  <si>
    <t>🟢 AUTO from Data Sheet row 68 (Inventory). IT companies: should be ~0.</t>
  </si>
  <si>
    <t xml:space="preserve">  Trade Receivables</t>
  </si>
  <si>
    <t>🟢 AUTO from Data Sheet row 67 (Receivables). IT benchmark: 60-90 debtor days.</t>
  </si>
  <si>
    <t xml:space="preserve">  Cash &amp; Equivalents</t>
  </si>
  <si>
    <t>🟢 AUTO from Data Sheet row 69 (Cash &amp; Bank). ⚠ Note: Screener Cash may include some treasury investments. For precise split, check Annual Report.</t>
  </si>
  <si>
    <t xml:space="preserve">  Loans &amp; Advances</t>
  </si>
  <si>
    <t>🔵 MANUAL: Screener BS → expand Other Assets → Loans n Advances. Not separately available in Data Sheet.</t>
  </si>
  <si>
    <t xml:space="preserve">  Other Asset Items</t>
  </si>
  <si>
    <t>🔵 MANUAL: Screener BS → expand Other Assets → Other asset items. Not separately available in Data Sheet.</t>
  </si>
  <si>
    <t>TOTAL ASSETS</t>
  </si>
  <si>
    <t>BALANCE SHEET CHECK  (must = 0)</t>
  </si>
  <si>
    <t>Must be 0 (±5 Cr rounding ok)</t>
  </si>
  <si>
    <t xml:space="preserve">  SECTION 3 — CASH FLOW  |  🟢 CFO + CFI auto  |  🔵 Capex + WC Changes = manual (Screener CF expand)</t>
  </si>
  <si>
    <t>🟢 AUTO from Data Sheet row 82 (Cash from Operating Activity).</t>
  </si>
  <si>
    <t xml:space="preserve">  Working Capital Changes</t>
  </si>
  <si>
    <t>🔵 MANUAL: Screener CF → expand Operating → Working capital changes. Not separately in Data Sheet.</t>
  </si>
  <si>
    <t>🟢 AUTO from Data Sheet row 83 (Cash from Investing Activity).</t>
  </si>
  <si>
    <t xml:space="preserve">  Capex (Fixed Assets Purch.)</t>
  </si>
  <si>
    <t>🔵 MANUAL: Screener CF → expand Investing → Fixed assets purchased (enter as negative). Not separately in Data Sheet.</t>
  </si>
  <si>
    <t>Free Cash Flow  (Screener)</t>
  </si>
  <si>
    <t>CF → 'Free Cash Flow' — cross-check vs model</t>
  </si>
  <si>
    <t xml:space="preserve">  SECTION 4 — KEY METRICS  (feeds Assumptions WACC — do not skip)</t>
  </si>
  <si>
    <t>Total Debt (₹ Cr)</t>
  </si>
  <si>
    <t>Auto-linked from above</t>
  </si>
  <si>
    <t>Cash &amp; Equivalents</t>
  </si>
  <si>
    <t>Net Debt (₹ Cr)</t>
  </si>
  <si>
    <t>Total Debt - Cash &amp; Equivalents - Investments</t>
  </si>
  <si>
    <t>NWC (Net Working Capital)</t>
  </si>
  <si>
    <t>Operating NWC (trade cycle) = Trade Receivables + Inventories - Trade Payables - Advance from Customers. Excludes non-operating "Other" buckets that made the old ratio swing 5.5%-14.4%.</t>
  </si>
  <si>
    <t>Market Capitalisation (₹ Cr)</t>
  </si>
  <si>
    <t>🔵 MANUAL: CompaniesMarketCap.com → search company → Market Cap History → annual data. Data Sheet only has CURRENT market cap, not historical by year.</t>
  </si>
  <si>
    <t>Shares Outstanding (Crores)</t>
  </si>
  <si>
    <t>🟢 AUTO from Data Sheet row 70 (No. of Equity Shares) ÷ 10,000,000 to convert to Crores. Verify against CompaniesMarketCap.com for accuracy.</t>
  </si>
  <si>
    <t>Average Debt (₹ Cr)</t>
  </si>
  <si>
    <t>Interest Expense</t>
  </si>
  <si>
    <t>Average Interest Rate on debt%</t>
  </si>
  <si>
    <t>Capex (₹ Cr)</t>
  </si>
  <si>
    <t>FCF — Screener (cross-check)</t>
  </si>
  <si>
    <t>Compare with model FCF tab</t>
  </si>
  <si>
    <t>→ TREND formula in Assumptions uses this for FY2029+</t>
  </si>
  <si>
    <t>→ TREND function in Assumptions uses this for FY2029+. IT: D&amp;A rising due to Ind AS 116 leases.</t>
  </si>
  <si>
    <t>Capex / Revenue %</t>
  </si>
  <si>
    <t>Cross-check for capex assumptions</t>
  </si>
  <si>
    <t>EBIT Margin %</t>
  </si>
  <si>
    <t>→ D&amp;A% = EBITDA% − EBIT%. Derive FY2027-28 D&amp;A% from MS EBIT margin.</t>
  </si>
  <si>
    <t>NWC/Revenue %</t>
  </si>
  <si>
    <t>(Unbilled Revenue / Deferred Revenue section removed — WC modelled via NWC % of Revenue approach)</t>
  </si>
  <si>
    <t>ASSUMPTIONS — IT SERVICES DCF  |  Yellow = your input  |  Purple = auto-projected  |  Teal = IT-specific</t>
  </si>
  <si>
    <t>Col C = Hist Avg  |  Cols D-E = FY2027-28  [YELLOW — enter from Trendlyne Forecaster]  |  Cols F-K = FY2029-34  [PURPLE — auto-calculated]</t>
  </si>
  <si>
    <t xml:space="preserve">  A.  MODEL PARAMETERS</t>
  </si>
  <si>
    <t>Parameter</t>
  </si>
  <si>
    <t>Value</t>
  </si>
  <si>
    <t>Guidance</t>
  </si>
  <si>
    <t>HCL</t>
  </si>
  <si>
    <t>e.g. Infosys, TCS, HCL Tech, Wipro, Tech Mahindra</t>
  </si>
  <si>
    <t>NSE Ticker</t>
  </si>
  <si>
    <t>HCLTECH</t>
  </si>
  <si>
    <t>e.g. INFY, TCS, HCLTECH, WIPRO, TECHM</t>
  </si>
  <si>
    <t>IT Sub-Sector</t>
  </si>
  <si>
    <t>Pure-Play IT Services</t>
  </si>
  <si>
    <t>Select: Pure-Play IT Services / IT+BPO / Product+Platform / Engineering Services / Diversified IT</t>
  </si>
  <si>
    <t>Currency / Units</t>
  </si>
  <si>
    <t>INR — ₹ Crores</t>
  </si>
  <si>
    <t>Last Historical FY</t>
  </si>
  <si>
    <t>FY2026</t>
  </si>
  <si>
    <t>e.g. FY2026</t>
  </si>
  <si>
    <t>MS Forecast Years</t>
  </si>
  <si>
    <t>FY2027, FY2028  (from Trendlyne Forecaster / Market Screener analyst consensus)</t>
  </si>
  <si>
    <t>Auto-Projected Years</t>
  </si>
  <si>
    <t>FY2029 – FY2034  (formula-driven)</t>
  </si>
  <si>
    <t>No. of Projection Years</t>
  </si>
  <si>
    <t>Fixed at 8 (2 analyst + 6 auto). Terminal Value captures FY2035→∞</t>
  </si>
  <si>
    <t>Terminal Growth Rate  g</t>
  </si>
  <si>
    <t>5–6% for India large-cap IT. Must be &lt; WACC. IT terminal g typically 5.5% (GDP-linked)</t>
  </si>
  <si>
    <t>Corporate Tax Rate</t>
  </si>
  <si>
    <t>IT-SPECIFIC: Use EFFECTIVE rate from Screener P&amp;L (3-yr avg). Indian IT: 20–23% (SEZ/STPI). Do NOT use 25.2%.</t>
  </si>
  <si>
    <t>Date of this valuation</t>
  </si>
  <si>
    <t xml:space="preserve">  B.  REVENUE &amp; MARGIN ASSUMPTIONS  |  Yellow = enter from MarketScreener  |  Purple = auto-projected formula</t>
  </si>
  <si>
    <t>Assumption</t>
  </si>
  <si>
    <t>Hist Avg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</si>
  <si>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</si>
  <si>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</si>
  <si>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</si>
  <si>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</si>
  <si>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</si>
  <si>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</si>
  <si>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</si>
  <si>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</si>
  <si>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Method / Note</t>
  </si>
  <si>
    <t>FY2027-28: Trendlyne Forecaster → Revenue Growth % estimate. IT large-cap: 8-15%. FY2029-34: Linear taper from FY2028 to terminal g.</t>
  </si>
  <si>
    <t>FY2027-28: Trendlyne EBITDA Margin estimate. IT benchmarks: TCS ~27%, Infosys ~24%, HCL ~20%. FY2029-34: TREND function extrapolation.</t>
  </si>
  <si>
    <t>IT-SPECIFIC: D&amp;A trending UP (Ind AS 116 leases). FY2027-28: derive as (EBITDA% - EBIT%) from Trendlyne. FY2029-34: TREND extrapolation.</t>
  </si>
  <si>
    <t>EBIT Margin %  (formula — auto)</t>
  </si>
  <si>
    <t>Auto-calculated: EBITDA Margin% − D&amp;A%. Do not edit.</t>
  </si>
  <si>
    <t xml:space="preserve">  C.  CAPEX ASSUMPTIONS — IT-SPECIFIC  |  Enter as % of Revenue (not ₹ Cr)  |  FY2029+ held flat</t>
  </si>
  <si>
    <t>Capex / Revenue %  ← ENTER THIS</t>
  </si>
  <si>
    <t>IT-SPECIFIC DRIVER. Enter Capex as % of Revenue. FY2029-34: held flat at FY2028 rate. Benchmarks: TCS 1.5%, Infosys 2%, HCL 2.5%. Source: Trendlyne capex ÷ revenue estimate.</t>
  </si>
  <si>
    <t>Total Capex (₹ Cr)  ← auto-derived</t>
  </si>
  <si>
    <t>Auto-derived: Capex% × Projected Revenue. Do not edit directly.</t>
  </si>
  <si>
    <t xml:space="preserve">  D.  WORKING CAPITAL — NWC % OF REVENUE  |  NWC = NWC% × Revenue  |  ΔWC = Year N − Year N-1  |  NWC% scales revenue growth automatically</t>
  </si>
  <si>
    <t>Metric</t>
  </si>
  <si>
    <t>Hist 5Y Avg</t>
  </si>
  <si>
    <t>Source / Notes</t>
  </si>
  <si>
    <t>Historical simple aveage of NWC % of Revenue</t>
  </si>
  <si>
    <t>Auto from Hist Data. NWC = (Trade Rec + Inventories + Other CA) − (Trade Payables + Advance from Customers + Other CL). Watch the trend — declining NWC% = improving cash efficiency.</t>
  </si>
  <si>
    <t>⭐ Projected NWC %  (Weighted Average)</t>
  </si>
  <si>
    <t>FY2027-28: Enter from Trendlyne WC data OR keep at hist avg. FY2029+: AUTO — flat at FY2028 level. How to get NWC%: Screener.in → company page → scroll to "Working Capital" in ratios box → divide by Sales for that year. HCL hist avg ~9.7%, 3Y avg ~7%. WSS model uses 9.55%.</t>
  </si>
  <si>
    <t>Historical Years(N ----&gt; Most recent year)</t>
  </si>
  <si>
    <t>FY_N-4</t>
  </si>
  <si>
    <t>FY_N-3</t>
  </si>
  <si>
    <t>FY_N-2</t>
  </si>
  <si>
    <t>FY_N-1</t>
  </si>
  <si>
    <t>FY_N</t>
  </si>
  <si>
    <t>Weights</t>
  </si>
  <si>
    <t>Note:   Default: 1,2,3,4,5 — increase FY_N weight to give more emphasis to most recent year</t>
  </si>
  <si>
    <t xml:space="preserve">  F.  WACC — 4 Steps  |  Ke = Rf + β×ERP  |  Kd = IntExp÷AvgDebt×(1-t)  |  WACC = Ke×E% + Kd×D%</t>
  </si>
  <si>
    <t>Component</t>
  </si>
  <si>
    <t>Formula / Source</t>
  </si>
  <si>
    <t>── STEP 1: COST OF EQUITY  Ke = Rf + β × ERP ──</t>
  </si>
  <si>
    <t>Risk-Free Rate  Rf  (%)</t>
  </si>
  <si>
    <t>10Y G-Sec yield. Source: investing.com → search "India 10 Year Bond Yield" → current yield. OR RBI website → Government Securities. Current (May 2026): ~7.0-7.1%.</t>
  </si>
  <si>
    <t>Equity Risk Premium  ERP  (%)</t>
  </si>
  <si>
    <t>Damodaran India ERP. Source: pages.stern.nyu.edu/~adamodar → click "Implied ERP" → India row. Updated monthly. Current India ERP: ~7.0-7.5%.</t>
  </si>
  <si>
    <t>Beta — Current  (β)</t>
  </si>
  <si>
    <t>Auto-linked from Beta Calc tab. SLOPE(stock weekly returns, Nifty50 returns) over 3Y. IT large-cap: TCS ~0.7, Infosys ~0.8, HCL ~0.9, Wipro ~0.9.</t>
  </si>
  <si>
    <t>Beta — At Maturity  (β_m)</t>
  </si>
  <si>
    <t>Stable-state beta. IT large-cap: 0.8–1.0 (defensive growth). Mid-cap IT: 0.9–1.1. Use 1.0 if uncertain. Conservative for IT.</t>
  </si>
  <si>
    <t>Cost of Equity — Current  Ke</t>
  </si>
  <si>
    <t>Cost of Equity — Maturity  Ke_m</t>
  </si>
  <si>
    <t>── STEP 2: COST OF DEBT  Kd = IntExp ÷ AvgDebt × (1−t) ──</t>
  </si>
  <si>
    <t>Interest Expense  (₹ Cr)</t>
  </si>
  <si>
    <t>Auto-linked from Hist Data → last year Interest Expense</t>
  </si>
  <si>
    <t>Average Debt  (₹ Cr)</t>
  </si>
  <si>
    <t>Auto-linked from Hist Data → last year Average Debt</t>
  </si>
  <si>
    <t>Pre-Tax Cost of Debt  Kd_pre</t>
  </si>
  <si>
    <t>Post-Tax Cost of Debt  Kd</t>
  </si>
  <si>
    <t>── STEP 3: CAPITAL STRUCTURE  E/(D+E) and D/(D+E) ──</t>
  </si>
  <si>
    <t>Market Capitalisation  (₹ Cr)</t>
  </si>
  <si>
    <t>Auto-linked from Hist Data → latest year Market Cap. Source: CompaniesMarketCap.com</t>
  </si>
  <si>
    <t>Total Debt  (₹ Cr)</t>
  </si>
  <si>
    <t>Auto-linked from Hist Data → latest year Total Debt</t>
  </si>
  <si>
    <t>Equity Weight  E/(D+E)  %</t>
  </si>
  <si>
    <t>Debt Weight  D/(D+E)  %</t>
  </si>
  <si>
    <t>── STEP 4: WACC ──</t>
  </si>
  <si>
    <t>WACC — High Growth Phase  %</t>
  </si>
  <si>
    <t>WACC — Terminal Phase  %</t>
  </si>
  <si>
    <t>WACC − g  (must be &gt; 0)</t>
  </si>
  <si>
    <t xml:space="preserve">  G.  OTHER INCOME (TREASURY) — IT-SPECIFIC  |  Model as Cash × Yield%, not flat carry-forward</t>
  </si>
  <si>
    <t>Treasury Yield Assumption %</t>
  </si>
  <si>
    <t>Assumed return on cash pile. Use ~6.5% (liquid fund / FD blend). Source: SBI FD rates ~7% or NIFTY Liquid Fund ~6.5%.</t>
  </si>
  <si>
    <t>Other Income Method</t>
  </si>
  <si>
    <t>Cash × Yield %</t>
  </si>
  <si>
    <t>Projected Other Income = Prior Year Net Cash Balance × Treasury Yield %. As FCF accumulates, cash grows → Other Income grows automatically.</t>
  </si>
  <si>
    <t xml:space="preserve">  H.  VALUATION BRIDGE INPUTS  (latest year balance sheet items)</t>
  </si>
  <si>
    <t>Input</t>
  </si>
  <si>
    <t>Auto: Hist Data → Total Debt last year</t>
  </si>
  <si>
    <t>Cash &amp; Equivalents (₹ Cr)</t>
  </si>
  <si>
    <t>Auto: Hist Data → Cash last year</t>
  </si>
  <si>
    <t>Investments (non-operating) (₹ Cr)</t>
  </si>
  <si>
    <t>Manual: Screener BS → 'Investments' row, last year. Non-operating investments only.</t>
  </si>
  <si>
    <t>Non-Controlling Interest (₹ Cr)</t>
  </si>
  <si>
    <t>Auto: Hist Data → NCI last year</t>
  </si>
  <si>
    <t>Auto: Hist Data → Shares last year. Source: CompaniesMarketCap.com</t>
  </si>
  <si>
    <t>Current Market Price (₹/share)</t>
  </si>
  <si>
    <t>⚠ Manual: today's CMP from NSE/BSE/Google. Update every valuation.</t>
  </si>
  <si>
    <t>Net Cash / (Net Debt)  [+ = IT is net cash]</t>
  </si>
  <si>
    <t>If POSITIVE → company is net cash (typical for TCS, Infosys). Equity Value &gt; Enterprise Value. If negative → net debt.</t>
  </si>
  <si>
    <t>PROJECTED FINANCIALS — IT SERVICES  (₹ Crores)  |  All formulas — do not edit</t>
  </si>
  <si>
    <t>Col C = FY2026 actual (linked from Hist Data).  Cols D-E = FY2027-28 (formula from yellow assumptions).  Cols F-K = FY2029-34 (purple auto-formula).  All cells are formulas — do not type here.</t>
  </si>
  <si>
    <t xml:space="preserve">  PROJECTED P&amp;L</t>
  </si>
  <si>
    <t>Line Item</t>
  </si>
  <si>
    <t>FY2026A</t>
  </si>
  <si>
    <t>Net Revenue (₹ Cr)</t>
  </si>
  <si>
    <t xml:space="preserve">  Revenue Growth %</t>
  </si>
  <si>
    <t>EBITDA (₹ Cr)</t>
  </si>
  <si>
    <t xml:space="preserve">  EBITDA Margin %</t>
  </si>
  <si>
    <t>Depreciation &amp; Amortisation (₹ Cr)</t>
  </si>
  <si>
    <t xml:space="preserve">  EBIT Margin %</t>
  </si>
  <si>
    <t>Interest Expense (₹ Cr)</t>
  </si>
  <si>
    <t>Other Income (₹ Cr)</t>
  </si>
  <si>
    <t>⚠ IT NOTE: If company has large cash pile (&gt;₹10,000 Cr), consider modelling as: Cash Balance × Treasury Yield (Assumptions G). Currently carries forward historical Other Income with growth.</t>
  </si>
  <si>
    <t>PBT (₹ Cr)</t>
  </si>
  <si>
    <t>Tax Expense (₹ Cr)</t>
  </si>
  <si>
    <t xml:space="preserve">  Effective Tax Rate %</t>
  </si>
  <si>
    <t>PAT (₹ Cr)</t>
  </si>
  <si>
    <t>Minority Interest (₹ Cr)</t>
  </si>
  <si>
    <t>PAT to Equity (₹ Cr)</t>
  </si>
  <si>
    <t xml:space="preserve">  WORKING CAPITAL SCHEDULE  |  NWC = NWC% × Revenue  |  ΔWC feeds FCFF directly</t>
  </si>
  <si>
    <t>Net Revenue (₹ Cr)  [linked from P&amp;L above]</t>
  </si>
  <si>
    <t>NWC % of Revenue  [from Assumptions D]</t>
  </si>
  <si>
    <t>⭐ Net Working Capital  (₹ Cr)  =  NWC% × Revenue</t>
  </si>
  <si>
    <t>⭐ ΔWC — Change in Working Capital  (₹ Cr)  |  feeds FCFF</t>
  </si>
  <si>
    <t>→ This row feeds directly into FCF &amp; Val Part 1 row 10. With NWC% flat, ΔWC ≈ NWC% × Revenue Growth. For HCL at 9.7% NWC% growing 7%/yr: ΔWC ≈ ~960 Cr/yr initially.</t>
  </si>
  <si>
    <t>FREE CASH FLOW TO FIRM  +  DCF VALUATION — IT SERVICES  (₹ Crores)</t>
  </si>
  <si>
    <t xml:space="preserve">  PART 1 — FCFF = NOPAT + D&amp;A − Capex − ΔWC</t>
  </si>
  <si>
    <t>Tax on EBIT  (EBIT × Tax Rate)</t>
  </si>
  <si>
    <t>NOPAT — Net Operating Profit After Tax</t>
  </si>
  <si>
    <t>+ Depreciation &amp; Amortisation</t>
  </si>
  <si>
    <t>− Total Capex</t>
  </si>
  <si>
    <t>− ΔWC  (Change in Working Capital)  |  + ΔWC = cash used; − ΔWC = cash released</t>
  </si>
  <si>
    <t>FREE CASH FLOW TO FIRM (FCFF)</t>
  </si>
  <si>
    <t>FCFF Growth %</t>
  </si>
  <si>
    <t xml:space="preserve">  PART 2 — DISCOUNTING  PV = FCFF ÷ (1+WACC)^n</t>
  </si>
  <si>
    <t>Year Number</t>
  </si>
  <si>
    <t>WACC — High Growth %</t>
  </si>
  <si>
    <t>Discount Factor  1÷(1+WACC)^n</t>
  </si>
  <si>
    <t>Present Value of FCFF (₹ Cr)</t>
  </si>
  <si>
    <t xml:space="preserve">  PART 3 — TERMINAL VALUE  TV = FCFF(N+1) ÷ (WACC_tv − g)  |  Captures FY2035 → ∞</t>
  </si>
  <si>
    <t>FCFF in Terminal Year (FY2034)  (₹ Cr)</t>
  </si>
  <si>
    <t>Terminal Growth Rate  g  (%)</t>
  </si>
  <si>
    <t>WACC — Terminal Phase  (%)</t>
  </si>
  <si>
    <t>FCFF Year N+1  (FY2035)  (₹ Cr)</t>
  </si>
  <si>
    <t>TERMINAL VALUE  (₹ Cr)  —  FY2035→∞</t>
  </si>
  <si>
    <t>Discount Factor  (Year 8)</t>
  </si>
  <si>
    <t>PV of Terminal Value  (₹ Cr)</t>
  </si>
  <si>
    <t>⚠ IT NOTE: Most large IT companies are NET CASH (Cash &gt; Debt). If Net Debt (Debt - Cash) is NEGATIVE, the equity bridge ADDS net cash to EV. Check: if Total Debt &lt; Cash &amp; Equivalents, your Equity Value &gt; Enterprise Value. This is correct.</t>
  </si>
  <si>
    <t xml:space="preserve">  PART 4 — ENTERPRISE VALUE → EQUITY VALUE BRIDGE</t>
  </si>
  <si>
    <t>Sum of PV of FCFs  (₹ Cr)</t>
  </si>
  <si>
    <t>ENTERPRISE VALUE  (₹ Cr)</t>
  </si>
  <si>
    <t>Net Cash / (Net Debt)  [+ = net cash, − = net debt]</t>
  </si>
  <si>
    <t>Less: Total Debt  (₹ Cr)</t>
  </si>
  <si>
    <t>Less: Non-Controlling Interest  (₹ Cr)</t>
  </si>
  <si>
    <t>Add: Cash &amp; Equivalents  (₹ Cr)</t>
  </si>
  <si>
    <t>Add: Investments  (₹ Cr)</t>
  </si>
  <si>
    <t>DCF VALUE OF EQUITY  (₹ Cr)</t>
  </si>
  <si>
    <t>Shares Outstanding  (Crores)</t>
  </si>
  <si>
    <t>INTRINSIC VALUE PER SHARE  (₹)</t>
  </si>
  <si>
    <t>Current Market Price  (₹)</t>
  </si>
  <si>
    <t>Upside / (Downside)  %</t>
  </si>
  <si>
    <t>Verdict</t>
  </si>
  <si>
    <t>SENSITIVITY ANALYSIS — IT SERVICES  |  Intrinsic Value Per Share  (₹)</t>
  </si>
  <si>
    <t>Terminal Growth rate(col)</t>
  </si>
  <si>
    <t>Wacc(row)</t>
  </si>
  <si>
    <t xml:space="preserve">  TABLE — WACC (rows) vs Terminal Growth g (cols)  |  Auto-calculated  |  Green = IV &gt; CMP</t>
  </si>
  <si>
    <t>IT SECTOR WACC BENCHMARKS: Large-cap (TCS/Infy): 11–13%  |  Mid-cap IT: 13–15%  |  Small-cap IT: 15–17%</t>
  </si>
  <si>
    <t>TERMINAL GROWTH BENCHMARKS: Conservative: 5.0%  |  Base: 5.5%  |  Bullish: 6.0%  |  Note: India nominal GDP growth ~6.5-7%</t>
  </si>
  <si>
    <t>These cells now auto-populate via direct formulas (no Excel Data Table needed). Each cell re-discounts the fixed FCFF stream at its row WACC and rebuilds the terminal value at its (WACC, g). Green = intrinsic value above current market price.</t>
  </si>
  <si>
    <t>BETA CALCULATION — 3-Year Weekly Price Data  |  IT Sector</t>
  </si>
  <si>
    <t xml:space="preserve">  BETA OUTPUT</t>
  </si>
  <si>
    <t>Note</t>
  </si>
  <si>
    <t>Calculated Beta  (Raw)</t>
  </si>
  <si>
    <t>SLOPE(stock weekly returns, Nifty50 weekly returns). IT large-cap benchmarks: TCS ~0.7, Infosys ~0.8, HCL ~0.9, Wipro ~0.9, Tech M ~1.0. If Beta &gt; 1.2 for large-cap IT, check your data.</t>
  </si>
  <si>
    <t>Beta Used in Model</t>
  </si>
  <si>
    <t>This cell links to Assumptions Section F. Verify before finalising.</t>
  </si>
  <si>
    <t>Data Points (weeks)</t>
  </si>
  <si>
    <t>Should be ~156 (3Y × 52W). Less = incomplete data.</t>
  </si>
  <si>
    <t>R-squared</t>
  </si>
  <si>
    <t>R² &gt; 0.3 typical for liquid large-caps.</t>
  </si>
  <si>
    <t>📌 Steps: (1) Trendlyne.com → Company → Charts → Download weekly prices (3Y) → paste Closing Price → Col C  OR  investing.com → Nifty 50 → Historical → Weekly → 3 years → Download → paste Price col → Col C  |  (2) Same for your IT stock → Col D  |  (3) Same date range, same row count, oldest date at TOP  |  ⚠ IT stocks: expect Beta 0.6–1.0 for large-cap, 0.8–1.2 for mid-cap</t>
  </si>
  <si>
    <t>Date</t>
  </si>
  <si>
    <t>Nifty50 Price</t>
  </si>
  <si>
    <t>Stock Price</t>
  </si>
  <si>
    <t>Nifty50 Weekly Ret</t>
  </si>
  <si>
    <t>Stock Weekly Return</t>
  </si>
  <si>
    <t>05/24/2026</t>
  </si>
  <si>
    <t>05/17/2026</t>
  </si>
  <si>
    <t>04/26/2026</t>
  </si>
  <si>
    <t>04/19/2026</t>
  </si>
  <si>
    <t>03/29/2026</t>
  </si>
  <si>
    <t>03/22/2026</t>
  </si>
  <si>
    <t>03/15/2026</t>
  </si>
  <si>
    <t>02/22/2026</t>
  </si>
  <si>
    <t>02/15/2026</t>
  </si>
  <si>
    <t>01/25/2026</t>
  </si>
  <si>
    <t>01/18/2026</t>
  </si>
  <si>
    <t>12/28/2025</t>
  </si>
  <si>
    <t>12/21/2025</t>
  </si>
  <si>
    <t>12/14/2025</t>
  </si>
  <si>
    <t>11/30/2025</t>
  </si>
  <si>
    <t>11/23/2025</t>
  </si>
  <si>
    <t>11/16/2025</t>
  </si>
  <si>
    <t>10/26/2025</t>
  </si>
  <si>
    <t>10/19/2025</t>
  </si>
  <si>
    <t>09/28/2025</t>
  </si>
  <si>
    <t>09/21/2025</t>
  </si>
  <si>
    <t>09/14/2025</t>
  </si>
  <si>
    <t>08/31/2025</t>
  </si>
  <si>
    <t>08/24/2025</t>
  </si>
  <si>
    <t>08/17/2025</t>
  </si>
  <si>
    <t>07/27/2025</t>
  </si>
  <si>
    <t>07/20/2025</t>
  </si>
  <si>
    <t>07/13/2025</t>
  </si>
  <si>
    <t>06/29/2025</t>
  </si>
  <si>
    <t>06/22/2025</t>
  </si>
  <si>
    <t>06/15/2025</t>
  </si>
  <si>
    <t>05/25/2025</t>
  </si>
  <si>
    <t>05/18/2025</t>
  </si>
  <si>
    <t>04/27/2025</t>
  </si>
  <si>
    <t>04/20/2025</t>
  </si>
  <si>
    <t>04/13/2025</t>
  </si>
  <si>
    <t>03/30/2025</t>
  </si>
  <si>
    <t>03/23/2025</t>
  </si>
  <si>
    <t>03/16/2025</t>
  </si>
  <si>
    <t>02/23/2025</t>
  </si>
  <si>
    <t>02/16/2025</t>
  </si>
  <si>
    <t>01/26/2025</t>
  </si>
  <si>
    <t>01/19/2025</t>
  </si>
  <si>
    <t>12/29/2024</t>
  </si>
  <si>
    <t>12/22/2024</t>
  </si>
  <si>
    <t>12/15/2024</t>
  </si>
  <si>
    <t>11/24/2024</t>
  </si>
  <si>
    <t>11/17/2024</t>
  </si>
  <si>
    <t>10/27/2024</t>
  </si>
  <si>
    <t>10/20/2024</t>
  </si>
  <si>
    <t>10/13/2024</t>
  </si>
  <si>
    <t>09/29/2024</t>
  </si>
  <si>
    <t>09/22/2024</t>
  </si>
  <si>
    <t>09/15/2024</t>
  </si>
  <si>
    <t>08/25/2024</t>
  </si>
  <si>
    <t>08/18/2024</t>
  </si>
  <si>
    <t>07/28/2024</t>
  </si>
  <si>
    <t>07/21/2024</t>
  </si>
  <si>
    <t>07/14/2024</t>
  </si>
  <si>
    <t>06/30/2024</t>
  </si>
  <si>
    <t>06/23/2024</t>
  </si>
  <si>
    <t>06/16/2024</t>
  </si>
  <si>
    <t>05/26/2024</t>
  </si>
  <si>
    <t>05/19/2024</t>
  </si>
  <si>
    <t>04/28/2024</t>
  </si>
  <si>
    <t>04/21/2024</t>
  </si>
  <si>
    <t>04/14/2024</t>
  </si>
  <si>
    <t>03/31/2024</t>
  </si>
  <si>
    <t>03/24/2024</t>
  </si>
  <si>
    <t>03/17/2024</t>
  </si>
  <si>
    <t>02/25/2024</t>
  </si>
  <si>
    <t>02/18/2024</t>
  </si>
  <si>
    <t>01/28/2024</t>
  </si>
  <si>
    <t>01/21/2024</t>
  </si>
  <si>
    <t>01/14/2024</t>
  </si>
  <si>
    <t>12/31/2023</t>
  </si>
  <si>
    <t>12/24/2023</t>
  </si>
  <si>
    <t>12/17/2023</t>
  </si>
  <si>
    <t>11/26/2023</t>
  </si>
  <si>
    <t>11/19/2023</t>
  </si>
  <si>
    <t>10/29/2023</t>
  </si>
  <si>
    <t>10/22/2023</t>
  </si>
  <si>
    <t>10/15/2023</t>
  </si>
  <si>
    <t>09/24/2023</t>
  </si>
  <si>
    <t>09/17/2023</t>
  </si>
  <si>
    <t>08/27/2023</t>
  </si>
  <si>
    <t>08/20/2023</t>
  </si>
  <si>
    <t>08/13/2023</t>
  </si>
  <si>
    <t>07/30/2023</t>
  </si>
  <si>
    <t>07/23/2023</t>
  </si>
  <si>
    <t>07/16/2023</t>
  </si>
  <si>
    <t>06/25/2023</t>
  </si>
  <si>
    <t>06/18/2023</t>
  </si>
  <si>
    <t>05/28/2023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</si>
</sst>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\-"/>
    <numFmt numFmtId="165" formatCode="0.0%"/>
    <numFmt numFmtId="166" formatCode="0.0%;\-0.0%;\-"/>
    <numFmt numFmtId="167" formatCode="0.0"/>
    <numFmt numFmtId="168" formatCode="m/d/yyyy"/>
    <numFmt numFmtId="169" formatCode="#,##0.0000;\(#,##0.0000\);\-"/>
    <numFmt numFmtId="170" formatCode="\₹#,##0.00"/>
    <numFmt numFmtId="171" formatCode="\₹#,##0"/>
    <numFmt numFmtId="172" formatCode="0.00%;\-0.00%;\-"/>
  </numFmts>
  <fonts count="5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3"/>
      <color rgb="FF1F3864"/>
      <name val="Arial"/>
      <family val="2"/>
      <charset val="1"/>
    </font>
    <font>
      <sz val="10"/>
      <color rgb="FF2E5797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1F3864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4B0082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6100"/>
      <name val="Arial"/>
      <family val="2"/>
      <charset val="1"/>
    </font>
    <font>
      <sz val="9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1A6B72"/>
      <name val="Arial"/>
      <family val="2"/>
      <charset val="1"/>
    </font>
    <font>
      <sz val="9"/>
      <color rgb="FF595959"/>
      <name val="Arial"/>
      <family val="2"/>
      <charset val="1"/>
    </font>
    <font>
      <sz val="10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8B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0"/>
      <color theme="6" tint="-0.499984740745262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006100"/>
      <name val="Arial"/>
      <family val="2"/>
      <charset val="1"/>
    </font>
    <font>
      <sz val="10"/>
      <color rgb="FF375623"/>
      <name val="Arial"/>
      <family val="2"/>
      <charset val="1"/>
    </font>
    <font>
      <sz val="10"/>
      <color rgb="FF22222F"/>
      <name val="Arial"/>
      <family val="2"/>
      <charset val="1"/>
    </font>
    <font>
      <sz val="10"/>
      <color rgb="FF595959"/>
      <name val="Arial"/>
      <family val="2"/>
      <charset val="1"/>
    </font>
    <font>
      <sz val="11"/>
      <color rgb="FF22222F"/>
      <name val="Arial"/>
      <family val="2"/>
      <charset val="1"/>
    </font>
    <font>
      <b/>
      <sz val="10"/>
      <color theme="6" tint="-0.499984740745262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8B00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color rgb="FF1A6B72"/>
      <name val="Arial"/>
      <family val="2"/>
      <charset val="1"/>
    </font>
    <font>
      <b/>
      <sz val="10"/>
      <color rgb="FFB85C00"/>
      <name val="Arial"/>
      <family val="2"/>
      <charset val="1"/>
    </font>
    <font>
      <sz val="10"/>
      <color rgb="FF4B0082"/>
      <name val="Arial"/>
      <family val="2"/>
      <charset val="1"/>
    </font>
    <font>
      <sz val="10"/>
      <color theme="7" tint="-0.499984740745262"/>
      <name val="Arial"/>
      <family val="2"/>
      <charset val="1"/>
    </font>
    <font>
      <b/>
      <sz val="10"/>
      <color rgb="FF006100"/>
      <name val="Arial"/>
      <family val="2"/>
      <charset val="1"/>
    </font>
    <font>
      <b/>
      <sz val="10"/>
      <color rgb="FF4B0082"/>
      <name val="Arial"/>
      <family val="2"/>
      <charset val="1"/>
    </font>
    <font>
      <i/>
      <sz val="11"/>
      <color theme="1"/>
      <name val="Calibri"/>
      <family val="2"/>
      <charset val="1"/>
    </font>
    <font>
      <b/>
      <sz val="11"/>
      <color rgb="FF1A6B72"/>
      <name val="Arial"/>
      <family val="2"/>
      <charset val="1"/>
    </font>
    <font>
      <sz val="10"/>
      <color rgb="FF1A6B72"/>
      <name val="Arial"/>
      <family val="2"/>
      <charset val="1"/>
    </font>
    <font>
      <sz val="10"/>
      <color rgb="FF7030A0"/>
      <name val="Arial"/>
      <family val="2"/>
      <charset val="1"/>
    </font>
    <font>
      <i/>
      <sz val="9"/>
      <color rgb="FFB85C00"/>
      <name val="Arial"/>
      <family val="2"/>
      <charset val="1"/>
    </font>
    <font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9"/>
      <color rgb="FFB85C00"/>
      <name val="Arial"/>
      <family val="2"/>
      <charset val="1"/>
    </font>
    <font>
      <sz val="10"/>
      <color rgb="FF000000"/>
      <name val="Helvetica Neue"/>
      <family val="2"/>
      <charset val="1"/>
    </font>
    <font>
      <b/>
      <sz val="10"/>
      <color rgb="FF000000"/>
      <name val="Helvetica Neue"/>
      <family val="2"/>
      <charset val="1"/>
    </font>
    <font>
      <sz val="10"/>
      <color rgb="FF000000"/>
      <name val="Arial"/>
      <family val="2"/>
    </font>
    <font>
      <sz val="10"/>
      <color rgb="FF4B0082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7" tint="-0.249977111117893"/>
        <bgColor rgb="FF595959"/>
      </patternFill>
    </fill>
    <fill>
      <patternFill patternType="solid">
        <fgColor rgb="FFFFFF00"/>
        <bgColor rgb="FF99CC00"/>
      </patternFill>
    </fill>
    <fill>
      <patternFill patternType="solid">
        <fgColor theme="4" tint="-0.499984740745262"/>
        <bgColor rgb="FF1F3864"/>
      </patternFill>
    </fill>
    <fill>
      <patternFill patternType="solid">
        <fgColor theme="4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1A6B72"/>
        <bgColor rgb="FF2E5797"/>
      </patternFill>
    </fill>
    <fill>
      <patternFill patternType="solid">
        <fgColor rgb="FF1F3864"/>
        <bgColor rgb="FF1F3764"/>
      </patternFill>
    </fill>
    <fill>
      <patternFill patternType="solid">
        <fgColor rgb="FFDCE6F1"/>
        <bgColor rgb="FFDCE6F2"/>
      </patternFill>
    </fill>
    <fill>
      <patternFill patternType="solid">
        <fgColor rgb="FFE8D5F5"/>
        <bgColor rgb="FFE9D6F6"/>
      </patternFill>
    </fill>
    <fill>
      <patternFill patternType="solid">
        <fgColor rgb="FFE2EFDA"/>
        <bgColor rgb="FFE0F2F4"/>
      </patternFill>
    </fill>
    <fill>
      <patternFill patternType="solid">
        <fgColor rgb="FFFCE4D6"/>
        <bgColor rgb="FFFFF0E0"/>
      </patternFill>
    </fill>
    <fill>
      <patternFill patternType="solid">
        <fgColor rgb="FFF2F2F2"/>
        <bgColor rgb="FFFFF0E0"/>
      </patternFill>
    </fill>
    <fill>
      <patternFill patternType="solid">
        <fgColor rgb="FF4472C4"/>
        <bgColor rgb="FF4F81BD"/>
      </patternFill>
    </fill>
    <fill>
      <patternFill patternType="solid">
        <fgColor rgb="FFE0F2F4"/>
        <bgColor rgb="FFE2EFDA"/>
      </patternFill>
    </fill>
    <fill>
      <patternFill patternType="solid">
        <fgColor rgb="FFFFF0E0"/>
        <bgColor rgb="FFF2F2F2"/>
      </patternFill>
    </fill>
    <fill>
      <patternFill patternType="solid">
        <fgColor rgb="FFD6E4BC"/>
        <bgColor rgb="FFD7E4BD"/>
      </patternFill>
    </fill>
    <fill>
      <patternFill patternType="solid">
        <fgColor theme="1" tint="0.3498947111423078"/>
        <bgColor rgb="FF604A7B"/>
      </patternFill>
    </fill>
    <fill>
      <patternFill patternType="solid">
        <fgColor theme="4" tint="0.79989013336588644"/>
        <bgColor rgb="FFDCE6F1"/>
      </patternFill>
    </fill>
    <fill>
      <patternFill patternType="solid">
        <fgColor rgb="FF2E5797"/>
        <bgColor rgb="FF1A6B72"/>
      </patternFill>
    </fill>
    <fill>
      <patternFill patternType="solid">
        <fgColor theme="6" tint="0.59987182226020086"/>
        <bgColor rgb="FFD6E4BC"/>
      </patternFill>
    </fill>
    <fill>
      <patternFill patternType="solid">
        <fgColor rgb="FF7B2D8B"/>
        <bgColor rgb="FF7030A0"/>
      </patternFill>
    </fill>
    <fill>
      <patternFill patternType="solid">
        <fgColor rgb="FFE9D6F6"/>
        <bgColor rgb="FFE8D5F5"/>
      </patternFill>
    </fill>
    <fill>
      <patternFill patternType="solid">
        <fgColor theme="9"/>
        <bgColor rgb="FFFF8080"/>
      </patternFill>
    </fill>
    <fill>
      <patternFill patternType="solid">
        <fgColor theme="1" tint="0.49989318521683401"/>
        <bgColor rgb="FF4F81BD"/>
      </patternFill>
    </fill>
    <fill>
      <patternFill patternType="solid">
        <fgColor rgb="FF1F3764"/>
        <bgColor rgb="FF1F3864"/>
      </patternFill>
    </fill>
    <fill>
      <patternFill patternType="solid">
        <fgColor theme="7" tint="0.79989013336588644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E8D5F5"/>
      </patternFill>
    </fill>
  </fills>
  <borders count="10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4" fillId="6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 indent="2"/>
    </xf>
    <xf numFmtId="0" fontId="11" fillId="11" borderId="1" xfId="0" applyFont="1" applyFill="1" applyBorder="1" applyAlignment="1">
      <alignment horizontal="left" vertical="center" indent="2"/>
    </xf>
    <xf numFmtId="0" fontId="10" fillId="6" borderId="1" xfId="0" applyFont="1" applyFill="1" applyBorder="1" applyAlignment="1">
      <alignment horizontal="left" vertical="center" indent="2"/>
    </xf>
    <xf numFmtId="0" fontId="9" fillId="10" borderId="1" xfId="0" applyFont="1" applyFill="1" applyBorder="1" applyAlignment="1">
      <alignment horizontal="left" vertical="center" indent="2"/>
    </xf>
    <xf numFmtId="0" fontId="8" fillId="3" borderId="1" xfId="0" applyFont="1" applyFill="1" applyBorder="1" applyAlignment="1">
      <alignment horizontal="left" vertical="center" indent="2"/>
    </xf>
    <xf numFmtId="0" fontId="8" fillId="9" borderId="1" xfId="0" applyFont="1" applyFill="1" applyBorder="1" applyAlignment="1">
      <alignment horizontal="left" vertical="center" indent="2"/>
    </xf>
    <xf numFmtId="0" fontId="8" fillId="3" borderId="1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4" borderId="0" xfId="0" applyFont="1" applyFill="1"/>
    <xf numFmtId="17" fontId="3" fillId="4" borderId="0" xfId="0" applyNumberFormat="1" applyFont="1" applyFill="1"/>
    <xf numFmtId="0" fontId="0" fillId="5" borderId="0" xfId="0" applyFill="1"/>
    <xf numFmtId="0" fontId="6" fillId="7" borderId="0" xfId="0" applyFont="1" applyFill="1" applyAlignment="1">
      <alignment wrapText="1"/>
    </xf>
    <xf numFmtId="0" fontId="14" fillId="6" borderId="1" xfId="0" applyFont="1" applyFill="1" applyBorder="1" applyAlignment="1">
      <alignment horizontal="left" vertical="center"/>
    </xf>
    <xf numFmtId="0" fontId="13" fillId="3" borderId="0" xfId="0" applyFont="1" applyFill="1"/>
    <xf numFmtId="0" fontId="14" fillId="13" borderId="0" xfId="0" applyFont="1" applyFill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15" fillId="14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8" borderId="0" xfId="0" applyFont="1" applyFill="1"/>
    <xf numFmtId="0" fontId="6" fillId="14" borderId="0" xfId="0" applyFont="1" applyFill="1"/>
    <xf numFmtId="0" fontId="14" fillId="6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left" vertical="center" wrapText="1"/>
    </xf>
    <xf numFmtId="0" fontId="17" fillId="15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0" fontId="19" fillId="0" borderId="0" xfId="0" applyFont="1"/>
    <xf numFmtId="0" fontId="15" fillId="14" borderId="1" xfId="0" applyFont="1" applyFill="1" applyBorder="1" applyAlignment="1">
      <alignment horizontal="center" vertical="center"/>
    </xf>
    <xf numFmtId="0" fontId="22" fillId="17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64" fontId="23" fillId="17" borderId="4" xfId="0" applyNumberFormat="1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left" vertical="center"/>
    </xf>
    <xf numFmtId="164" fontId="23" fillId="6" borderId="4" xfId="0" applyNumberFormat="1" applyFont="1" applyFill="1" applyBorder="1" applyAlignment="1">
      <alignment horizontal="center" vertical="center"/>
    </xf>
    <xf numFmtId="165" fontId="23" fillId="6" borderId="4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left" vertical="center"/>
    </xf>
    <xf numFmtId="166" fontId="25" fillId="18" borderId="4" xfId="0" applyNumberFormat="1" applyFont="1" applyFill="1" applyBorder="1" applyAlignment="1">
      <alignment horizontal="center" vertical="center"/>
    </xf>
    <xf numFmtId="164" fontId="26" fillId="17" borderId="4" xfId="0" applyNumberFormat="1" applyFont="1" applyFill="1" applyBorder="1" applyAlignment="1">
      <alignment horizontal="center" vertical="center"/>
    </xf>
    <xf numFmtId="0" fontId="27" fillId="19" borderId="4" xfId="0" applyFont="1" applyFill="1" applyBorder="1"/>
    <xf numFmtId="0" fontId="28" fillId="13" borderId="2" xfId="0" applyFont="1" applyFill="1" applyBorder="1" applyAlignment="1">
      <alignment horizontal="left" vertical="center"/>
    </xf>
    <xf numFmtId="0" fontId="6" fillId="20" borderId="1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 wrapText="1"/>
    </xf>
    <xf numFmtId="3" fontId="29" fillId="19" borderId="4" xfId="0" applyNumberFormat="1" applyFont="1" applyFill="1" applyBorder="1"/>
    <xf numFmtId="0" fontId="29" fillId="19" borderId="4" xfId="0" applyFont="1" applyFill="1" applyBorder="1"/>
    <xf numFmtId="164" fontId="30" fillId="6" borderId="4" xfId="0" applyNumberFormat="1" applyFont="1" applyFill="1" applyBorder="1" applyAlignment="1">
      <alignment horizontal="center" vertical="center"/>
    </xf>
    <xf numFmtId="0" fontId="6" fillId="20" borderId="0" xfId="0" applyFont="1" applyFill="1"/>
    <xf numFmtId="164" fontId="23" fillId="21" borderId="4" xfId="0" applyNumberFormat="1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left" vertical="center"/>
    </xf>
    <xf numFmtId="164" fontId="31" fillId="12" borderId="2" xfId="0" applyNumberFormat="1" applyFont="1" applyFill="1" applyBorder="1" applyAlignment="1">
      <alignment horizontal="center" vertical="center"/>
    </xf>
    <xf numFmtId="0" fontId="32" fillId="17" borderId="4" xfId="0" applyFont="1" applyFill="1" applyBorder="1" applyAlignment="1">
      <alignment horizontal="center" vertical="center"/>
    </xf>
    <xf numFmtId="3" fontId="27" fillId="19" borderId="4" xfId="0" applyNumberFormat="1" applyFont="1" applyFill="1" applyBorder="1"/>
    <xf numFmtId="3" fontId="33" fillId="19" borderId="4" xfId="0" applyNumberFormat="1" applyFont="1" applyFill="1" applyBorder="1"/>
    <xf numFmtId="164" fontId="25" fillId="6" borderId="4" xfId="0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164" fontId="33" fillId="3" borderId="4" xfId="0" applyNumberFormat="1" applyFont="1" applyFill="1" applyBorder="1" applyAlignment="1">
      <alignment horizontal="center" vertical="center"/>
    </xf>
    <xf numFmtId="2" fontId="33" fillId="3" borderId="4" xfId="0" applyNumberFormat="1" applyFont="1" applyFill="1" applyBorder="1" applyAlignment="1">
      <alignment horizontal="center" vertical="center"/>
    </xf>
    <xf numFmtId="165" fontId="25" fillId="6" borderId="4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24" fillId="13" borderId="0" xfId="0" applyFont="1" applyFill="1" applyAlignment="1">
      <alignment horizontal="left" vertical="center"/>
    </xf>
    <xf numFmtId="0" fontId="14" fillId="6" borderId="0" xfId="0" applyFont="1" applyFill="1"/>
    <xf numFmtId="0" fontId="35" fillId="13" borderId="5" xfId="0" applyFont="1" applyFill="1" applyBorder="1" applyAlignment="1">
      <alignment horizontal="left" vertical="center"/>
    </xf>
    <xf numFmtId="9" fontId="14" fillId="6" borderId="0" xfId="0" applyNumberFormat="1" applyFont="1" applyFill="1"/>
    <xf numFmtId="165" fontId="14" fillId="6" borderId="0" xfId="0" applyNumberFormat="1" applyFont="1" applyFill="1"/>
    <xf numFmtId="0" fontId="14" fillId="6" borderId="0" xfId="0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167" fontId="14" fillId="6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0" fillId="0" borderId="0" xfId="0" applyProtection="1">
      <protection locked="0"/>
    </xf>
    <xf numFmtId="0" fontId="6" fillId="8" borderId="0" xfId="0" applyFont="1" applyFill="1" applyAlignment="1" applyProtection="1">
      <alignment horizontal="left" vertical="center"/>
      <protection locked="0"/>
    </xf>
    <xf numFmtId="0" fontId="15" fillId="14" borderId="0" xfId="0" applyFont="1" applyFill="1" applyAlignment="1" applyProtection="1">
      <alignment horizontal="center" vertical="center"/>
      <protection locked="0"/>
    </xf>
    <xf numFmtId="0" fontId="14" fillId="6" borderId="0" xfId="0" applyFont="1" applyFill="1" applyAlignment="1" applyProtection="1">
      <alignment horizontal="left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8" fillId="13" borderId="0" xfId="0" applyFont="1" applyFill="1" applyAlignment="1" applyProtection="1">
      <alignment horizontal="left" vertical="center" wrapText="1"/>
      <protection locked="0"/>
    </xf>
    <xf numFmtId="0" fontId="36" fillId="15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wrapText="1"/>
    </xf>
    <xf numFmtId="165" fontId="14" fillId="3" borderId="0" xfId="0" applyNumberFormat="1" applyFont="1" applyFill="1" applyAlignment="1" applyProtection="1">
      <alignment horizontal="center" vertical="center"/>
      <protection locked="0"/>
    </xf>
    <xf numFmtId="0" fontId="37" fillId="16" borderId="0" xfId="0" applyFont="1" applyFill="1" applyAlignment="1" applyProtection="1">
      <alignment horizontal="left" vertical="center"/>
      <protection locked="0"/>
    </xf>
    <xf numFmtId="165" fontId="37" fillId="3" borderId="0" xfId="0" applyNumberFormat="1" applyFont="1" applyFill="1" applyAlignment="1" applyProtection="1">
      <alignment horizontal="center" vertical="center"/>
      <protection locked="0"/>
    </xf>
    <xf numFmtId="168" fontId="14" fillId="3" borderId="0" xfId="0" applyNumberFormat="1" applyFont="1" applyFill="1" applyAlignment="1" applyProtection="1">
      <alignment horizontal="center" vertical="center"/>
      <protection locked="0"/>
    </xf>
    <xf numFmtId="0" fontId="32" fillId="6" borderId="0" xfId="0" applyFont="1" applyFill="1" applyAlignment="1" applyProtection="1">
      <alignment horizontal="left" vertical="center"/>
      <protection locked="0"/>
    </xf>
    <xf numFmtId="0" fontId="15" fillId="20" borderId="0" xfId="0" applyFont="1" applyFill="1" applyAlignment="1" applyProtection="1">
      <alignment horizontal="center" vertical="center"/>
      <protection locked="0"/>
    </xf>
    <xf numFmtId="0" fontId="15" fillId="22" borderId="0" xfId="0" applyFont="1" applyFill="1" applyAlignment="1" applyProtection="1">
      <alignment horizontal="center" vertical="center"/>
      <protection locked="0"/>
    </xf>
    <xf numFmtId="165" fontId="25" fillId="6" borderId="4" xfId="0" applyNumberFormat="1" applyFont="1" applyFill="1" applyBorder="1" applyAlignment="1" applyProtection="1">
      <alignment horizontal="center" vertical="center"/>
      <protection locked="0"/>
    </xf>
    <xf numFmtId="165" fontId="14" fillId="3" borderId="4" xfId="0" applyNumberFormat="1" applyFont="1" applyFill="1" applyBorder="1" applyAlignment="1" applyProtection="1">
      <alignment horizontal="center" vertical="center"/>
      <protection locked="0"/>
    </xf>
    <xf numFmtId="165" fontId="38" fillId="10" borderId="4" xfId="0" applyNumberFormat="1" applyFont="1" applyFill="1" applyBorder="1" applyAlignment="1" applyProtection="1">
      <alignment horizontal="center" vertical="center"/>
      <protection locked="0"/>
    </xf>
    <xf numFmtId="0" fontId="28" fillId="6" borderId="0" xfId="0" applyFont="1" applyFill="1" applyAlignment="1" applyProtection="1">
      <alignment horizontal="left" vertical="center"/>
      <protection locked="0"/>
    </xf>
    <xf numFmtId="165" fontId="39" fillId="23" borderId="4" xfId="0" applyNumberFormat="1" applyFont="1" applyFill="1" applyBorder="1" applyAlignment="1" applyProtection="1">
      <alignment horizontal="center" vertical="center"/>
      <protection locked="0"/>
    </xf>
    <xf numFmtId="164" fontId="25" fillId="6" borderId="4" xfId="0" applyNumberFormat="1" applyFont="1" applyFill="1" applyBorder="1" applyAlignment="1" applyProtection="1">
      <alignment horizontal="center" vertical="center"/>
      <protection locked="0"/>
    </xf>
    <xf numFmtId="164" fontId="39" fillId="23" borderId="4" xfId="0" applyNumberFormat="1" applyFont="1" applyFill="1" applyBorder="1" applyAlignment="1" applyProtection="1">
      <alignment horizontal="center" vertical="center"/>
      <protection locked="0"/>
    </xf>
    <xf numFmtId="0" fontId="15" fillId="22" borderId="0" xfId="0" applyFont="1" applyFill="1" applyAlignment="1">
      <alignment horizontal="center" vertical="center"/>
    </xf>
    <xf numFmtId="165" fontId="25" fillId="6" borderId="6" xfId="0" applyNumberFormat="1" applyFont="1" applyFill="1" applyBorder="1" applyAlignment="1" applyProtection="1">
      <alignment horizontal="center" vertical="center"/>
      <protection locked="0"/>
    </xf>
    <xf numFmtId="165" fontId="11" fillId="6" borderId="0" xfId="0" applyNumberFormat="1" applyFont="1" applyFill="1" applyAlignment="1" applyProtection="1">
      <alignment horizontal="center" vertical="center"/>
      <protection locked="0"/>
    </xf>
    <xf numFmtId="165" fontId="11" fillId="6" borderId="0" xfId="0" applyNumberFormat="1" applyFont="1" applyFill="1" applyAlignment="1">
      <alignment horizontal="center" vertical="center"/>
    </xf>
    <xf numFmtId="0" fontId="18" fillId="13" borderId="0" xfId="0" applyFont="1" applyFill="1"/>
    <xf numFmtId="0" fontId="18" fillId="13" borderId="0" xfId="0" applyFont="1" applyFill="1" applyAlignment="1">
      <alignment horizontal="left" vertical="center" wrapText="1"/>
    </xf>
    <xf numFmtId="165" fontId="40" fillId="6" borderId="4" xfId="0" applyNumberFormat="1" applyFont="1" applyFill="1" applyBorder="1" applyAlignment="1" applyProtection="1">
      <alignment horizontal="center" vertical="center"/>
      <protection locked="0"/>
    </xf>
    <xf numFmtId="165" fontId="32" fillId="6" borderId="4" xfId="0" applyNumberFormat="1" applyFont="1" applyFill="1" applyBorder="1" applyAlignment="1" applyProtection="1">
      <alignment horizontal="center" vertical="center"/>
      <protection locked="0"/>
    </xf>
    <xf numFmtId="165" fontId="41" fillId="10" borderId="4" xfId="0" applyNumberFormat="1" applyFont="1" applyFill="1" applyBorder="1" applyAlignment="1">
      <alignment horizontal="center" vertical="center"/>
    </xf>
    <xf numFmtId="0" fontId="21" fillId="16" borderId="0" xfId="0" applyFont="1" applyFill="1" applyAlignment="1">
      <alignment horizontal="left" vertical="center" wrapText="1"/>
    </xf>
    <xf numFmtId="0" fontId="32" fillId="24" borderId="0" xfId="0" applyFont="1" applyFill="1" applyAlignment="1" applyProtection="1">
      <alignment horizontal="right"/>
      <protection locked="0"/>
    </xf>
    <xf numFmtId="0" fontId="32" fillId="24" borderId="7" xfId="0" applyFont="1" applyFill="1" applyBorder="1" applyAlignment="1">
      <alignment horizontal="center" vertical="center"/>
    </xf>
    <xf numFmtId="0" fontId="32" fillId="24" borderId="0" xfId="0" applyFont="1" applyFill="1" applyAlignment="1" applyProtection="1">
      <alignment horizontal="center"/>
      <protection locked="0"/>
    </xf>
    <xf numFmtId="2" fontId="14" fillId="24" borderId="4" xfId="0" applyNumberFormat="1" applyFont="1" applyFill="1" applyBorder="1" applyAlignment="1" applyProtection="1">
      <alignment horizontal="center" vertical="center"/>
      <protection locked="0"/>
    </xf>
    <xf numFmtId="2" fontId="14" fillId="24" borderId="4" xfId="0" applyNumberFormat="1" applyFont="1" applyFill="1" applyBorder="1" applyAlignment="1" applyProtection="1">
      <alignment horizontal="center" vertical="center" wrapText="1"/>
      <protection locked="0"/>
    </xf>
    <xf numFmtId="2" fontId="14" fillId="24" borderId="4" xfId="0" applyNumberFormat="1" applyFont="1" applyFill="1" applyBorder="1" applyAlignment="1">
      <alignment horizontal="center"/>
    </xf>
    <xf numFmtId="0" fontId="42" fillId="0" borderId="0" xfId="0" applyFont="1"/>
    <xf numFmtId="0" fontId="14" fillId="6" borderId="0" xfId="0" applyFont="1" applyFill="1" applyAlignment="1">
      <alignment horizontal="left" vertical="center" wrapText="1"/>
    </xf>
    <xf numFmtId="2" fontId="14" fillId="6" borderId="0" xfId="0" applyNumberFormat="1" applyFont="1" applyFill="1" applyAlignment="1" applyProtection="1">
      <alignment horizontal="center" vertical="center"/>
      <protection locked="0"/>
    </xf>
    <xf numFmtId="2" fontId="14" fillId="6" borderId="0" xfId="0" applyNumberFormat="1" applyFont="1" applyFill="1" applyAlignment="1" applyProtection="1">
      <alignment horizontal="center" vertical="center" wrapText="1"/>
      <protection locked="0"/>
    </xf>
    <xf numFmtId="2" fontId="14" fillId="6" borderId="0" xfId="0" applyNumberFormat="1" applyFont="1" applyFill="1" applyAlignment="1">
      <alignment horizontal="center"/>
    </xf>
    <xf numFmtId="167" fontId="14" fillId="6" borderId="0" xfId="0" applyNumberFormat="1" applyFont="1" applyFill="1" applyAlignment="1" applyProtection="1">
      <alignment horizontal="center" vertical="center"/>
      <protection locked="0"/>
    </xf>
    <xf numFmtId="0" fontId="14" fillId="6" borderId="0" xfId="0" applyFont="1" applyFill="1" applyAlignment="1" applyProtection="1">
      <alignment horizontal="left" vertical="center" wrapText="1"/>
      <protection locked="0"/>
    </xf>
    <xf numFmtId="0" fontId="6" fillId="8" borderId="0" xfId="0" applyFont="1" applyFill="1" applyAlignment="1" applyProtection="1">
      <alignment horizontal="left" vertical="center" wrapText="1"/>
      <protection locked="0"/>
    </xf>
    <xf numFmtId="164" fontId="14" fillId="3" borderId="4" xfId="0" applyNumberFormat="1" applyFont="1" applyFill="1" applyBorder="1" applyAlignment="1" applyProtection="1">
      <alignment horizontal="center" vertical="center"/>
      <protection locked="0"/>
    </xf>
    <xf numFmtId="164" fontId="38" fillId="10" borderId="4" xfId="0" applyNumberFormat="1" applyFont="1" applyFill="1" applyBorder="1" applyAlignment="1" applyProtection="1">
      <alignment horizontal="center" vertical="center"/>
      <protection locked="0"/>
    </xf>
    <xf numFmtId="2" fontId="25" fillId="6" borderId="4" xfId="0" applyNumberFormat="1" applyFont="1" applyFill="1" applyBorder="1" applyAlignment="1" applyProtection="1">
      <alignment horizontal="center" vertical="center"/>
      <protection locked="0"/>
    </xf>
    <xf numFmtId="2" fontId="14" fillId="3" borderId="4" xfId="0" applyNumberFormat="1" applyFont="1" applyFill="1" applyBorder="1" applyAlignment="1" applyProtection="1">
      <alignment horizontal="center" vertical="center"/>
      <protection locked="0"/>
    </xf>
    <xf numFmtId="165" fontId="43" fillId="15" borderId="0" xfId="0" applyNumberFormat="1" applyFont="1" applyFill="1" applyAlignment="1" applyProtection="1">
      <alignment horizontal="center" vertical="center"/>
      <protection locked="0"/>
    </xf>
    <xf numFmtId="165" fontId="25" fillId="11" borderId="0" xfId="0" applyNumberFormat="1" applyFont="1" applyFill="1" applyAlignment="1" applyProtection="1">
      <alignment horizontal="center" vertical="center"/>
      <protection locked="0"/>
    </xf>
    <xf numFmtId="165" fontId="31" fillId="12" borderId="0" xfId="0" applyNumberFormat="1" applyFont="1" applyFill="1" applyAlignment="1" applyProtection="1">
      <alignment horizontal="center" vertical="center"/>
      <protection locked="0"/>
    </xf>
    <xf numFmtId="0" fontId="15" fillId="7" borderId="0" xfId="0" applyFont="1" applyFill="1" applyAlignment="1" applyProtection="1">
      <alignment horizontal="center" vertical="center"/>
      <protection locked="0"/>
    </xf>
    <xf numFmtId="0" fontId="44" fillId="15" borderId="0" xfId="0" applyFont="1" applyFill="1" applyAlignment="1" applyProtection="1">
      <alignment horizontal="left" vertical="center"/>
      <protection locked="0"/>
    </xf>
    <xf numFmtId="0" fontId="14" fillId="6" borderId="0" xfId="0" applyFont="1" applyFill="1" applyAlignment="1" applyProtection="1">
      <alignment horizontal="center" vertical="center"/>
      <protection locked="0"/>
    </xf>
    <xf numFmtId="164" fontId="25" fillId="11" borderId="0" xfId="0" applyNumberFormat="1" applyFont="1" applyFill="1" applyAlignment="1" applyProtection="1">
      <alignment horizontal="center" vertical="center"/>
      <protection locked="0"/>
    </xf>
    <xf numFmtId="0" fontId="34" fillId="3" borderId="0" xfId="0" applyFont="1" applyFill="1" applyAlignment="1" applyProtection="1">
      <alignment horizontal="left" vertical="center"/>
      <protection locked="0"/>
    </xf>
    <xf numFmtId="164" fontId="14" fillId="3" borderId="0" xfId="0" applyNumberFormat="1" applyFont="1" applyFill="1" applyAlignment="1" applyProtection="1">
      <alignment horizontal="center" vertical="center"/>
      <protection locked="0"/>
    </xf>
    <xf numFmtId="2" fontId="25" fillId="11" borderId="0" xfId="0" applyNumberFormat="1" applyFont="1" applyFill="1" applyAlignment="1" applyProtection="1">
      <alignment horizontal="center" vertical="center"/>
      <protection locked="0"/>
    </xf>
    <xf numFmtId="164" fontId="36" fillId="15" borderId="0" xfId="0" applyNumberFormat="1" applyFont="1" applyFill="1" applyAlignment="1" applyProtection="1">
      <alignment horizontal="center" vertical="center"/>
      <protection locked="0"/>
    </xf>
    <xf numFmtId="0" fontId="15" fillId="14" borderId="2" xfId="0" applyFont="1" applyFill="1" applyBorder="1" applyAlignment="1">
      <alignment horizontal="left" vertical="center"/>
    </xf>
    <xf numFmtId="0" fontId="15" fillId="20" borderId="2" xfId="0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164" fontId="25" fillId="11" borderId="2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center" vertical="center"/>
    </xf>
    <xf numFmtId="165" fontId="25" fillId="11" borderId="2" xfId="0" applyNumberFormat="1" applyFont="1" applyFill="1" applyBorder="1" applyAlignment="1">
      <alignment horizontal="center" vertical="center"/>
    </xf>
    <xf numFmtId="165" fontId="45" fillId="23" borderId="2" xfId="0" applyNumberFormat="1" applyFont="1" applyFill="1" applyBorder="1" applyAlignment="1">
      <alignment horizontal="center" vertical="center"/>
    </xf>
    <xf numFmtId="165" fontId="38" fillId="10" borderId="2" xfId="0" applyNumberFormat="1" applyFont="1" applyFill="1" applyBorder="1" applyAlignment="1">
      <alignment horizontal="center" vertical="center"/>
    </xf>
    <xf numFmtId="165" fontId="38" fillId="23" borderId="2" xfId="0" applyNumberFormat="1" applyFont="1" applyFill="1" applyBorder="1" applyAlignment="1">
      <alignment horizontal="center" vertical="center"/>
    </xf>
    <xf numFmtId="0" fontId="14" fillId="25" borderId="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0" fontId="36" fillId="15" borderId="2" xfId="0" applyFont="1" applyFill="1" applyBorder="1" applyAlignment="1">
      <alignment horizontal="left" vertical="center"/>
    </xf>
    <xf numFmtId="164" fontId="40" fillId="11" borderId="2" xfId="0" applyNumberFormat="1" applyFont="1" applyFill="1" applyBorder="1" applyAlignment="1">
      <alignment horizontal="center" vertical="center"/>
    </xf>
    <xf numFmtId="164" fontId="14" fillId="6" borderId="2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35" fillId="13" borderId="0" xfId="0" applyFont="1" applyFill="1" applyAlignment="1">
      <alignment horizontal="left" vertical="center" wrapText="1"/>
    </xf>
    <xf numFmtId="165" fontId="14" fillId="6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13" borderId="2" xfId="0" applyNumberFormat="1" applyFill="1" applyBorder="1" applyAlignment="1">
      <alignment horizontal="center" vertical="center"/>
    </xf>
    <xf numFmtId="164" fontId="15" fillId="14" borderId="2" xfId="0" applyNumberFormat="1" applyFont="1" applyFill="1" applyBorder="1" applyAlignment="1">
      <alignment horizontal="center" vertical="center"/>
    </xf>
    <xf numFmtId="164" fontId="15" fillId="22" borderId="2" xfId="0" applyNumberFormat="1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left" vertical="center"/>
    </xf>
    <xf numFmtId="164" fontId="18" fillId="13" borderId="2" xfId="0" applyNumberFormat="1" applyFont="1" applyFill="1" applyBorder="1" applyAlignment="1">
      <alignment horizontal="center" vertical="center"/>
    </xf>
    <xf numFmtId="165" fontId="47" fillId="0" borderId="0" xfId="0" applyNumberFormat="1" applyFont="1"/>
    <xf numFmtId="164" fontId="10" fillId="6" borderId="2" xfId="0" applyNumberFormat="1" applyFont="1" applyFill="1" applyBorder="1" applyAlignment="1">
      <alignment horizontal="center" vertical="center"/>
    </xf>
    <xf numFmtId="169" fontId="25" fillId="11" borderId="2" xfId="0" applyNumberFormat="1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6" borderId="2" xfId="0" applyFill="1" applyBorder="1"/>
    <xf numFmtId="165" fontId="48" fillId="26" borderId="0" xfId="0" applyNumberFormat="1" applyFont="1" applyFill="1"/>
    <xf numFmtId="164" fontId="20" fillId="8" borderId="2" xfId="0" applyNumberFormat="1" applyFont="1" applyFill="1" applyBorder="1" applyAlignment="1">
      <alignment horizontal="center" vertical="center"/>
    </xf>
    <xf numFmtId="169" fontId="14" fillId="6" borderId="2" xfId="0" applyNumberFormat="1" applyFont="1" applyFill="1" applyBorder="1" applyAlignment="1">
      <alignment horizontal="center" vertical="center"/>
    </xf>
    <xf numFmtId="164" fontId="6" fillId="20" borderId="8" xfId="0" applyNumberFormat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/>
    <xf numFmtId="0" fontId="6" fillId="20" borderId="2" xfId="0" applyFont="1" applyFill="1" applyBorder="1" applyAlignment="1">
      <alignment horizontal="left" vertical="center"/>
    </xf>
    <xf numFmtId="164" fontId="6" fillId="20" borderId="2" xfId="0" applyNumberFormat="1" applyFont="1" applyFill="1" applyBorder="1" applyAlignment="1">
      <alignment horizontal="center" vertical="center"/>
    </xf>
    <xf numFmtId="0" fontId="36" fillId="15" borderId="0" xfId="0" applyFont="1" applyFill="1"/>
    <xf numFmtId="164" fontId="36" fillId="15" borderId="0" xfId="0" applyNumberFormat="1" applyFont="1" applyFill="1" applyAlignment="1">
      <alignment horizontal="center" vertical="center"/>
    </xf>
    <xf numFmtId="0" fontId="20" fillId="7" borderId="2" xfId="0" applyFont="1" applyFill="1" applyBorder="1" applyAlignment="1">
      <alignment horizontal="left" vertical="center"/>
    </xf>
    <xf numFmtId="170" fontId="49" fillId="7" borderId="2" xfId="0" applyNumberFormat="1" applyFont="1" applyFill="1" applyBorder="1" applyAlignment="1">
      <alignment horizontal="right" vertical="center"/>
    </xf>
    <xf numFmtId="164" fontId="14" fillId="27" borderId="2" xfId="0" applyNumberFormat="1" applyFont="1" applyFill="1" applyBorder="1" applyAlignment="1">
      <alignment horizontal="center" vertical="center"/>
    </xf>
    <xf numFmtId="165" fontId="43" fillId="6" borderId="2" xfId="0" applyNumberFormat="1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0" fontId="3" fillId="26" borderId="0" xfId="0" applyFont="1" applyFill="1"/>
    <xf numFmtId="0" fontId="0" fillId="27" borderId="4" xfId="0" applyFill="1" applyBorder="1"/>
    <xf numFmtId="165" fontId="47" fillId="27" borderId="4" xfId="0" applyNumberFormat="1" applyFont="1" applyFill="1" applyBorder="1"/>
    <xf numFmtId="10" fontId="47" fillId="27" borderId="4" xfId="0" applyNumberFormat="1" applyFont="1" applyFill="1" applyBorder="1"/>
    <xf numFmtId="171" fontId="6" fillId="7" borderId="2" xfId="0" applyNumberFormat="1" applyFont="1" applyFill="1" applyBorder="1" applyAlignment="1">
      <alignment horizontal="center" vertical="center"/>
    </xf>
    <xf numFmtId="165" fontId="50" fillId="8" borderId="2" xfId="0" applyNumberFormat="1" applyFont="1" applyFill="1" applyBorder="1" applyAlignment="1">
      <alignment horizontal="center" vertical="center"/>
    </xf>
    <xf numFmtId="165" fontId="50" fillId="3" borderId="2" xfId="0" applyNumberFormat="1" applyFont="1" applyFill="1" applyBorder="1" applyAlignment="1">
      <alignment horizontal="center" vertical="center"/>
    </xf>
    <xf numFmtId="3" fontId="51" fillId="6" borderId="2" xfId="0" applyNumberFormat="1" applyFont="1" applyFill="1" applyBorder="1" applyAlignment="1">
      <alignment horizontal="center"/>
    </xf>
    <xf numFmtId="2" fontId="36" fillId="15" borderId="2" xfId="0" applyNumberFormat="1" applyFont="1" applyFill="1" applyBorder="1" applyAlignment="1">
      <alignment horizontal="center" vertical="center"/>
    </xf>
    <xf numFmtId="1" fontId="36" fillId="15" borderId="2" xfId="0" applyNumberFormat="1" applyFont="1" applyFill="1" applyBorder="1" applyAlignment="1">
      <alignment horizontal="center" vertical="center"/>
    </xf>
    <xf numFmtId="172" fontId="36" fillId="15" borderId="2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4" fontId="10" fillId="9" borderId="0" xfId="0" applyNumberFormat="1" applyFont="1" applyFill="1" applyAlignment="1">
      <alignment horizontal="center" vertical="center"/>
    </xf>
    <xf numFmtId="4" fontId="10" fillId="3" borderId="0" xfId="0" applyNumberFormat="1" applyFont="1" applyFill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4" fontId="10" fillId="9" borderId="2" xfId="0" applyNumberFormat="1" applyFont="1" applyFill="1" applyBorder="1" applyAlignment="1">
      <alignment horizontal="center" vertical="center"/>
    </xf>
    <xf numFmtId="4" fontId="10" fillId="14" borderId="2" xfId="0" applyNumberFormat="1" applyFont="1" applyFill="1" applyBorder="1" applyAlignment="1">
      <alignment horizontal="center" vertical="center"/>
    </xf>
    <xf numFmtId="4" fontId="53" fillId="0" borderId="0" xfId="0" applyNumberFormat="1" applyFont="1"/>
    <xf numFmtId="0" fontId="18" fillId="13" borderId="2" xfId="0" applyFont="1" applyFill="1" applyBorder="1" applyAlignment="1">
      <alignment horizontal="right" vertical="center"/>
    </xf>
    <xf numFmtId="0" fontId="54" fillId="0" borderId="0" xfId="0" applyFont="1"/>
    <xf numFmtId="10" fontId="11" fillId="11" borderId="2" xfId="0" applyNumberFormat="1" applyFont="1" applyFill="1" applyBorder="1" applyAlignment="1">
      <alignment horizontal="center" vertical="center"/>
    </xf>
    <xf numFmtId="168" fontId="16" fillId="9" borderId="0" xfId="0" applyNumberFormat="1" applyFont="1" applyFill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20" fillId="8" borderId="3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8" borderId="0" xfId="0" applyFont="1" applyFill="1" applyAlignment="1" applyProtection="1">
      <alignment horizontal="left" vertical="center"/>
      <protection locked="0"/>
    </xf>
    <xf numFmtId="0" fontId="21" fillId="3" borderId="0" xfId="0" applyFont="1" applyFill="1" applyAlignment="1" applyProtection="1">
      <alignment horizontal="left" vertical="center" wrapText="1"/>
      <protection locked="0"/>
    </xf>
    <xf numFmtId="0" fontId="15" fillId="14" borderId="0" xfId="0" applyFont="1" applyFill="1" applyAlignment="1" applyProtection="1">
      <alignment horizontal="center" vertical="center"/>
      <protection locked="0"/>
    </xf>
    <xf numFmtId="0" fontId="18" fillId="13" borderId="0" xfId="0" applyFont="1" applyFill="1" applyAlignment="1" applyProtection="1">
      <alignment horizontal="left" vertical="center" wrapText="1"/>
      <protection locked="0"/>
    </xf>
    <xf numFmtId="0" fontId="6" fillId="20" borderId="0" xfId="0" applyFont="1" applyFill="1" applyAlignment="1" applyProtection="1">
      <alignment horizontal="left" vertical="center"/>
      <protection locked="0"/>
    </xf>
    <xf numFmtId="0" fontId="6" fillId="7" borderId="0" xfId="0" applyFont="1" applyFill="1" applyAlignment="1" applyProtection="1">
      <alignment horizontal="left" vertical="center"/>
      <protection locked="0"/>
    </xf>
    <xf numFmtId="0" fontId="20" fillId="8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7" fillId="15" borderId="0" xfId="0" applyFont="1" applyFill="1" applyAlignment="1">
      <alignment horizontal="left" vertical="center" wrapText="1"/>
    </xf>
    <xf numFmtId="0" fontId="15" fillId="14" borderId="9" xfId="0" applyFont="1" applyFill="1" applyBorder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52" fillId="16" borderId="0" xfId="0" applyFont="1" applyFill="1" applyAlignment="1">
      <alignment horizontal="center" vertical="center"/>
    </xf>
    <xf numFmtId="0" fontId="18" fillId="1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165" fontId="56" fillId="28" borderId="4" xfId="0" applyNumberFormat="1" applyFont="1" applyFill="1" applyBorder="1" applyAlignment="1" applyProtection="1">
      <alignment horizontal="center" vertical="center"/>
      <protection locked="0"/>
    </xf>
    <xf numFmtId="165" fontId="56" fillId="29" borderId="4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4F6228"/>
      <rgbColor rgb="FF800080"/>
      <rgbColor rgb="FF1A6B72"/>
      <rgbColor rgb="FFD9D9D9"/>
      <rgbColor rgb="FF7F7F7F"/>
      <rgbColor rgb="FFDCE6F1"/>
      <rgbColor rgb="FF7B2D8B"/>
      <rgbColor rgb="FFFFF0E0"/>
      <rgbColor rgb="FFE0F2F4"/>
      <rgbColor rgb="FF4B0082"/>
      <rgbColor rgb="FFFF8080"/>
      <rgbColor rgb="FF2E5797"/>
      <rgbColor rgb="FFE8D5F5"/>
      <rgbColor rgb="FF000080"/>
      <rgbColor rgb="FFFF00FF"/>
      <rgbColor rgb="FFD7E4BD"/>
      <rgbColor rgb="FF00FFFF"/>
      <rgbColor rgb="FF800080"/>
      <rgbColor rgb="FF800000"/>
      <rgbColor rgb="FF375623"/>
      <rgbColor rgb="FF0000FF"/>
      <rgbColor rgb="FF00CCFF"/>
      <rgbColor rgb="FFE2EFDA"/>
      <rgbColor rgb="FFC6EFCE"/>
      <rgbColor rgb="FFF2F2F2"/>
      <rgbColor rgb="FFDCE6F2"/>
      <rgbColor rgb="FFE6E0EC"/>
      <rgbColor rgb="FFE9D6F6"/>
      <rgbColor rgb="FFFCE4D6"/>
      <rgbColor rgb="FF4472C4"/>
      <rgbColor rgb="FF33CCCC"/>
      <rgbColor rgb="FF99CC00"/>
      <rgbColor rgb="FFD6E4BC"/>
      <rgbColor rgb="FFF79646"/>
      <rgbColor rgb="FFFF6600"/>
      <rgbColor rgb="FF604A7B"/>
      <rgbColor rgb="FF595959"/>
      <rgbColor rgb="FF1F3764"/>
      <rgbColor rgb="FF4F81BD"/>
      <rgbColor rgb="FF254061"/>
      <rgbColor rgb="FF22222F"/>
      <rgbColor rgb="FFB85C00"/>
      <rgbColor rgb="FF7030A0"/>
      <rgbColor rgb="FF1F3864"/>
      <rgbColor rgb="FF4031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opLeftCell="A50" zoomScaleNormal="100" workbookViewId="0">
      <pane xSplit="1" topLeftCell="B1" activePane="topRight" state="frozen"/>
      <selection activeCell="A50" sqref="A50"/>
      <selection pane="topRight" activeCell="G70" sqref="G70"/>
    </sheetView>
  </sheetViews>
  <sheetFormatPr baseColWidth="10" defaultColWidth="8.83203125" defaultRowHeight="15" x14ac:dyDescent="0.2"/>
  <cols>
    <col min="1" max="1" width="32" customWidth="1"/>
    <col min="2" max="11" width="10.1640625" customWidth="1"/>
  </cols>
  <sheetData>
    <row r="1" spans="1:11" ht="15" customHeight="1" x14ac:dyDescent="0.2">
      <c r="A1" s="15" t="s">
        <v>0</v>
      </c>
      <c r="B1" s="15" t="s">
        <v>1</v>
      </c>
    </row>
    <row r="2" spans="1:11" ht="15" customHeight="1" x14ac:dyDescent="0.2">
      <c r="A2" s="15" t="s">
        <v>2</v>
      </c>
      <c r="B2">
        <v>2.1</v>
      </c>
      <c r="E2" s="16"/>
      <c r="F2" s="17" t="s">
        <v>3</v>
      </c>
      <c r="G2" s="17"/>
      <c r="H2" s="16"/>
      <c r="I2" s="16"/>
    </row>
    <row r="3" spans="1:11" ht="15" customHeight="1" x14ac:dyDescent="0.2">
      <c r="A3" t="s">
        <v>4</v>
      </c>
      <c r="E3" s="18"/>
      <c r="F3" s="19" t="s">
        <v>5</v>
      </c>
      <c r="G3" s="18"/>
      <c r="H3" s="18"/>
      <c r="I3" s="18"/>
    </row>
    <row r="5" spans="1:11" ht="15" customHeight="1" x14ac:dyDescent="0.2">
      <c r="A5" s="15" t="s">
        <v>6</v>
      </c>
    </row>
    <row r="6" spans="1:11" ht="15" customHeight="1" x14ac:dyDescent="0.2">
      <c r="A6" t="s">
        <v>7</v>
      </c>
    </row>
    <row r="7" spans="1:11" ht="15" customHeight="1" x14ac:dyDescent="0.2">
      <c r="A7" t="s">
        <v>8</v>
      </c>
      <c r="B7">
        <v>2</v>
      </c>
    </row>
    <row r="8" spans="1:11" ht="15" customHeight="1" x14ac:dyDescent="0.2">
      <c r="A8" t="s">
        <v>9</v>
      </c>
      <c r="B8">
        <v>1183.8</v>
      </c>
    </row>
    <row r="9" spans="1:11" ht="15" customHeight="1" x14ac:dyDescent="0.2">
      <c r="A9" t="s">
        <v>10</v>
      </c>
      <c r="B9">
        <v>321243.67</v>
      </c>
    </row>
    <row r="15" spans="1:11" ht="15" customHeight="1" x14ac:dyDescent="0.2">
      <c r="A15" s="15" t="s">
        <v>11</v>
      </c>
    </row>
    <row r="16" spans="1:11" ht="15" customHeight="1" x14ac:dyDescent="0.2">
      <c r="A16" s="20" t="s">
        <v>12</v>
      </c>
      <c r="B16" s="21">
        <v>42825</v>
      </c>
      <c r="C16" s="21">
        <v>43190</v>
      </c>
      <c r="D16" s="21">
        <v>43555</v>
      </c>
      <c r="E16" s="21">
        <v>43921</v>
      </c>
      <c r="F16" s="21">
        <v>44286</v>
      </c>
      <c r="G16" s="21">
        <v>44651</v>
      </c>
      <c r="H16" s="21">
        <v>45016</v>
      </c>
      <c r="I16" s="21">
        <v>45382</v>
      </c>
      <c r="J16" s="21">
        <v>45747</v>
      </c>
      <c r="K16" s="21">
        <v>46112</v>
      </c>
    </row>
    <row r="17" spans="1:11" ht="15" customHeight="1" x14ac:dyDescent="0.2">
      <c r="A17" t="s">
        <v>13</v>
      </c>
      <c r="B17">
        <v>47568</v>
      </c>
      <c r="C17">
        <v>50569</v>
      </c>
      <c r="D17">
        <v>60427</v>
      </c>
      <c r="E17">
        <v>70676</v>
      </c>
      <c r="F17">
        <v>75379</v>
      </c>
      <c r="G17">
        <v>85651</v>
      </c>
      <c r="H17">
        <v>101456</v>
      </c>
      <c r="I17">
        <v>109913</v>
      </c>
      <c r="J17">
        <v>117055</v>
      </c>
      <c r="K17">
        <v>130144</v>
      </c>
    </row>
    <row r="18" spans="1:11" ht="15" customHeight="1" x14ac:dyDescent="0.2">
      <c r="A18" t="s">
        <v>14</v>
      </c>
      <c r="B18">
        <v>826</v>
      </c>
      <c r="C18">
        <v>1251</v>
      </c>
      <c r="D18">
        <v>1615</v>
      </c>
      <c r="E18">
        <v>1536</v>
      </c>
      <c r="F18">
        <v>1698</v>
      </c>
      <c r="G18">
        <v>1473</v>
      </c>
      <c r="H18">
        <v>2072</v>
      </c>
      <c r="I18">
        <v>1754</v>
      </c>
      <c r="J18">
        <v>1976</v>
      </c>
      <c r="K18">
        <v>2715</v>
      </c>
    </row>
    <row r="19" spans="1:11" ht="15" customHeight="1" x14ac:dyDescent="0.2">
      <c r="A19" t="s">
        <v>15</v>
      </c>
      <c r="B19">
        <v>11</v>
      </c>
      <c r="C19">
        <v>-104</v>
      </c>
      <c r="D19">
        <v>-81</v>
      </c>
      <c r="F19">
        <v>3</v>
      </c>
      <c r="G19">
        <v>67</v>
      </c>
      <c r="H19">
        <v>67</v>
      </c>
      <c r="I19">
        <v>-43</v>
      </c>
      <c r="J19">
        <v>-52</v>
      </c>
      <c r="K19">
        <v>106</v>
      </c>
    </row>
    <row r="20" spans="1:11" ht="15" customHeight="1" x14ac:dyDescent="0.2">
      <c r="A20" t="s">
        <v>16</v>
      </c>
      <c r="B20">
        <v>307</v>
      </c>
      <c r="C20">
        <v>313</v>
      </c>
      <c r="D20">
        <v>336</v>
      </c>
      <c r="E20">
        <v>307</v>
      </c>
      <c r="F20">
        <v>275</v>
      </c>
      <c r="G20">
        <v>291</v>
      </c>
      <c r="H20">
        <v>328</v>
      </c>
      <c r="I20">
        <v>360</v>
      </c>
      <c r="J20">
        <v>355</v>
      </c>
    </row>
    <row r="21" spans="1:11" ht="15" customHeight="1" x14ac:dyDescent="0.2">
      <c r="A21" t="s">
        <v>17</v>
      </c>
      <c r="B21">
        <v>9286</v>
      </c>
      <c r="C21">
        <v>9388</v>
      </c>
      <c r="D21">
        <v>10862</v>
      </c>
      <c r="E21">
        <v>12324</v>
      </c>
      <c r="F21">
        <v>12084</v>
      </c>
      <c r="G21">
        <v>14574</v>
      </c>
      <c r="H21">
        <v>17303</v>
      </c>
      <c r="I21">
        <v>16651</v>
      </c>
      <c r="J21">
        <v>16276</v>
      </c>
    </row>
    <row r="22" spans="1:11" ht="15" customHeight="1" x14ac:dyDescent="0.2">
      <c r="A22" t="s">
        <v>18</v>
      </c>
      <c r="B22">
        <v>22866</v>
      </c>
      <c r="C22">
        <v>24729</v>
      </c>
      <c r="D22">
        <v>29283</v>
      </c>
      <c r="E22">
        <v>34928</v>
      </c>
      <c r="F22">
        <v>38853</v>
      </c>
      <c r="G22">
        <v>46130</v>
      </c>
      <c r="H22">
        <v>55280</v>
      </c>
      <c r="I22">
        <v>62480</v>
      </c>
      <c r="J22">
        <v>66755</v>
      </c>
      <c r="K22">
        <v>74143</v>
      </c>
    </row>
    <row r="23" spans="1:11" ht="15" customHeight="1" x14ac:dyDescent="0.2">
      <c r="A23" t="s">
        <v>19</v>
      </c>
      <c r="B23">
        <v>2988</v>
      </c>
      <c r="C23">
        <v>2810</v>
      </c>
      <c r="D23">
        <v>3519</v>
      </c>
      <c r="E23">
        <v>3050</v>
      </c>
      <c r="F23">
        <v>1681</v>
      </c>
      <c r="G23">
        <v>1866</v>
      </c>
      <c r="H23">
        <v>2687</v>
      </c>
      <c r="I23">
        <v>2858</v>
      </c>
      <c r="J23">
        <v>4504</v>
      </c>
    </row>
    <row r="24" spans="1:11" ht="15" customHeight="1" x14ac:dyDescent="0.2">
      <c r="A24" t="s">
        <v>20</v>
      </c>
      <c r="B24">
        <v>916</v>
      </c>
      <c r="C24">
        <v>728</v>
      </c>
      <c r="D24">
        <v>805</v>
      </c>
      <c r="E24">
        <v>1215</v>
      </c>
      <c r="F24">
        <v>743</v>
      </c>
      <c r="G24">
        <v>855</v>
      </c>
      <c r="H24">
        <v>1225</v>
      </c>
      <c r="I24">
        <v>1569</v>
      </c>
      <c r="J24">
        <v>1633</v>
      </c>
      <c r="K24">
        <v>26640</v>
      </c>
    </row>
    <row r="25" spans="1:11" ht="15" customHeight="1" x14ac:dyDescent="0.2">
      <c r="A25" t="s">
        <v>21</v>
      </c>
      <c r="B25">
        <v>1069</v>
      </c>
      <c r="C25">
        <v>1230</v>
      </c>
      <c r="D25">
        <v>943</v>
      </c>
      <c r="E25">
        <v>589</v>
      </c>
      <c r="F25">
        <v>927</v>
      </c>
      <c r="G25">
        <v>1067</v>
      </c>
      <c r="H25">
        <v>1358</v>
      </c>
      <c r="I25">
        <v>1495</v>
      </c>
      <c r="J25">
        <v>2485</v>
      </c>
      <c r="K25">
        <v>574</v>
      </c>
    </row>
    <row r="26" spans="1:11" ht="15" customHeight="1" x14ac:dyDescent="0.2">
      <c r="A26" t="s">
        <v>22</v>
      </c>
      <c r="B26">
        <v>828</v>
      </c>
      <c r="C26">
        <v>1383</v>
      </c>
      <c r="D26">
        <v>2073</v>
      </c>
      <c r="E26">
        <v>3420</v>
      </c>
      <c r="F26">
        <v>4611</v>
      </c>
      <c r="G26">
        <v>4326</v>
      </c>
      <c r="H26">
        <v>4145</v>
      </c>
      <c r="I26">
        <v>4173</v>
      </c>
      <c r="J26">
        <v>4084</v>
      </c>
      <c r="K26">
        <v>4355</v>
      </c>
    </row>
    <row r="27" spans="1:11" ht="15" customHeight="1" x14ac:dyDescent="0.2">
      <c r="A27" t="s">
        <v>23</v>
      </c>
      <c r="B27">
        <v>89</v>
      </c>
      <c r="C27">
        <v>69</v>
      </c>
      <c r="D27">
        <v>174</v>
      </c>
      <c r="E27">
        <v>505</v>
      </c>
      <c r="F27">
        <v>511</v>
      </c>
      <c r="G27">
        <v>319</v>
      </c>
      <c r="H27">
        <v>353</v>
      </c>
      <c r="I27">
        <v>553</v>
      </c>
      <c r="J27">
        <v>644</v>
      </c>
      <c r="K27">
        <v>869</v>
      </c>
    </row>
    <row r="28" spans="1:11" ht="15" customHeight="1" x14ac:dyDescent="0.2">
      <c r="A28" t="s">
        <v>24</v>
      </c>
      <c r="B28">
        <v>10542</v>
      </c>
      <c r="C28">
        <v>11024</v>
      </c>
      <c r="D28">
        <v>12622</v>
      </c>
      <c r="E28">
        <v>13980</v>
      </c>
      <c r="F28">
        <v>15853</v>
      </c>
      <c r="G28">
        <v>16951</v>
      </c>
      <c r="H28">
        <v>19488</v>
      </c>
      <c r="I28">
        <v>20967</v>
      </c>
      <c r="J28">
        <v>23261</v>
      </c>
      <c r="K28">
        <v>22102</v>
      </c>
    </row>
    <row r="29" spans="1:11" ht="15" customHeight="1" x14ac:dyDescent="0.2">
      <c r="A29" t="s">
        <v>25</v>
      </c>
      <c r="B29">
        <v>1936</v>
      </c>
      <c r="C29">
        <v>2302</v>
      </c>
      <c r="D29">
        <v>2502</v>
      </c>
      <c r="E29">
        <v>2923</v>
      </c>
      <c r="F29">
        <v>4684</v>
      </c>
      <c r="G29">
        <v>3428</v>
      </c>
      <c r="H29">
        <v>4643</v>
      </c>
      <c r="I29">
        <v>5257</v>
      </c>
      <c r="J29">
        <v>5862</v>
      </c>
      <c r="K29">
        <v>5450</v>
      </c>
    </row>
    <row r="30" spans="1:11" ht="15" customHeight="1" x14ac:dyDescent="0.2">
      <c r="A30" t="s">
        <v>26</v>
      </c>
      <c r="B30">
        <v>8606</v>
      </c>
      <c r="C30">
        <v>8721</v>
      </c>
      <c r="D30">
        <v>10120</v>
      </c>
      <c r="E30">
        <v>11057</v>
      </c>
      <c r="F30">
        <v>11145</v>
      </c>
      <c r="G30">
        <v>13499</v>
      </c>
      <c r="H30">
        <v>14851</v>
      </c>
      <c r="I30">
        <v>15702</v>
      </c>
      <c r="J30">
        <v>17390</v>
      </c>
      <c r="K30">
        <v>16642</v>
      </c>
    </row>
    <row r="31" spans="1:11" ht="15" customHeight="1" x14ac:dyDescent="0.2">
      <c r="A31" t="s">
        <v>27</v>
      </c>
      <c r="B31">
        <v>3420</v>
      </c>
      <c r="C31">
        <v>1668</v>
      </c>
      <c r="D31">
        <v>1084</v>
      </c>
      <c r="E31">
        <v>2715</v>
      </c>
      <c r="F31">
        <v>2715</v>
      </c>
      <c r="G31">
        <v>11403</v>
      </c>
      <c r="H31">
        <v>13032</v>
      </c>
      <c r="I31">
        <v>14118</v>
      </c>
      <c r="J31">
        <v>16290</v>
      </c>
      <c r="K31">
        <v>14661</v>
      </c>
    </row>
    <row r="40" spans="1:11" ht="15" customHeight="1" x14ac:dyDescent="0.2">
      <c r="A40" s="15" t="s">
        <v>28</v>
      </c>
    </row>
    <row r="41" spans="1:11" ht="15" customHeight="1" x14ac:dyDescent="0.2">
      <c r="A41" s="20" t="s">
        <v>12</v>
      </c>
      <c r="B41" s="21">
        <v>45291</v>
      </c>
      <c r="C41" s="21">
        <v>45382</v>
      </c>
      <c r="D41" s="21">
        <v>45473</v>
      </c>
      <c r="E41" s="21">
        <v>45565</v>
      </c>
      <c r="F41" s="21">
        <v>45657</v>
      </c>
      <c r="G41" s="21">
        <v>45747</v>
      </c>
      <c r="H41" s="21">
        <v>45838</v>
      </c>
      <c r="I41" s="21">
        <v>45930</v>
      </c>
      <c r="J41" s="21">
        <v>46022</v>
      </c>
      <c r="K41" s="21">
        <v>46112</v>
      </c>
    </row>
    <row r="42" spans="1:11" ht="15" customHeight="1" x14ac:dyDescent="0.2">
      <c r="A42" t="s">
        <v>13</v>
      </c>
      <c r="B42">
        <v>28446</v>
      </c>
      <c r="C42">
        <v>28499</v>
      </c>
      <c r="D42">
        <v>28057</v>
      </c>
      <c r="E42">
        <v>28862</v>
      </c>
      <c r="F42">
        <v>29890</v>
      </c>
      <c r="G42">
        <v>30246</v>
      </c>
      <c r="H42">
        <v>30349</v>
      </c>
      <c r="I42">
        <v>31942</v>
      </c>
      <c r="J42">
        <v>33872</v>
      </c>
      <c r="K42">
        <v>33981</v>
      </c>
    </row>
    <row r="43" spans="1:11" ht="15" customHeight="1" x14ac:dyDescent="0.2">
      <c r="A43" t="s">
        <v>29</v>
      </c>
      <c r="B43">
        <v>21659</v>
      </c>
      <c r="C43">
        <v>22382</v>
      </c>
      <c r="D43">
        <v>22264</v>
      </c>
      <c r="E43">
        <v>22493</v>
      </c>
      <c r="F43">
        <v>23030</v>
      </c>
      <c r="G43">
        <v>23764</v>
      </c>
      <c r="H43">
        <v>24314</v>
      </c>
      <c r="I43">
        <v>25397</v>
      </c>
      <c r="J43">
        <v>26460</v>
      </c>
      <c r="K43">
        <v>27269</v>
      </c>
    </row>
    <row r="44" spans="1:11" ht="15" customHeight="1" x14ac:dyDescent="0.2">
      <c r="A44" t="s">
        <v>21</v>
      </c>
      <c r="B44">
        <v>370</v>
      </c>
      <c r="C44">
        <v>416</v>
      </c>
      <c r="D44">
        <v>1103</v>
      </c>
      <c r="E44">
        <v>456</v>
      </c>
      <c r="F44">
        <v>477</v>
      </c>
      <c r="G44">
        <v>449</v>
      </c>
      <c r="H44">
        <v>456</v>
      </c>
      <c r="I44">
        <v>415</v>
      </c>
      <c r="J44">
        <v>-571</v>
      </c>
      <c r="K44">
        <v>322</v>
      </c>
    </row>
    <row r="45" spans="1:11" ht="15" customHeight="1" x14ac:dyDescent="0.2">
      <c r="A45" t="s">
        <v>22</v>
      </c>
      <c r="B45">
        <v>1143</v>
      </c>
      <c r="C45">
        <v>1093</v>
      </c>
      <c r="D45">
        <v>998</v>
      </c>
      <c r="E45">
        <v>1007</v>
      </c>
      <c r="F45">
        <v>1039</v>
      </c>
      <c r="G45">
        <v>1040</v>
      </c>
      <c r="H45">
        <v>1093</v>
      </c>
      <c r="I45">
        <v>1043</v>
      </c>
      <c r="J45">
        <v>1127</v>
      </c>
      <c r="K45">
        <v>1092</v>
      </c>
    </row>
    <row r="46" spans="1:11" ht="15" customHeight="1" x14ac:dyDescent="0.2">
      <c r="A46" t="s">
        <v>23</v>
      </c>
      <c r="B46">
        <v>140</v>
      </c>
      <c r="C46">
        <v>171</v>
      </c>
      <c r="D46">
        <v>191</v>
      </c>
      <c r="E46">
        <v>131</v>
      </c>
      <c r="F46">
        <v>166</v>
      </c>
      <c r="G46">
        <v>156</v>
      </c>
      <c r="H46">
        <v>209</v>
      </c>
      <c r="I46">
        <v>215</v>
      </c>
      <c r="J46">
        <v>205</v>
      </c>
      <c r="K46">
        <v>240</v>
      </c>
    </row>
    <row r="47" spans="1:11" ht="15" customHeight="1" x14ac:dyDescent="0.2">
      <c r="A47" t="s">
        <v>24</v>
      </c>
      <c r="B47">
        <v>5874</v>
      </c>
      <c r="C47">
        <v>5269</v>
      </c>
      <c r="D47">
        <v>5707</v>
      </c>
      <c r="E47">
        <v>5687</v>
      </c>
      <c r="F47">
        <v>6132</v>
      </c>
      <c r="G47">
        <v>5735</v>
      </c>
      <c r="H47">
        <v>5189</v>
      </c>
      <c r="I47">
        <v>5702</v>
      </c>
      <c r="J47">
        <v>5509</v>
      </c>
      <c r="K47">
        <v>5702</v>
      </c>
    </row>
    <row r="48" spans="1:11" ht="15" customHeight="1" x14ac:dyDescent="0.2">
      <c r="A48" t="s">
        <v>25</v>
      </c>
      <c r="B48">
        <v>1523</v>
      </c>
      <c r="C48">
        <v>1274</v>
      </c>
      <c r="D48">
        <v>1448</v>
      </c>
      <c r="E48">
        <v>1450</v>
      </c>
      <c r="F48">
        <v>1538</v>
      </c>
      <c r="G48">
        <v>1426</v>
      </c>
      <c r="H48">
        <v>1345</v>
      </c>
      <c r="I48">
        <v>1466</v>
      </c>
      <c r="J48">
        <v>1427</v>
      </c>
      <c r="K48">
        <v>1212</v>
      </c>
    </row>
    <row r="49" spans="1:11" ht="15" customHeight="1" x14ac:dyDescent="0.2">
      <c r="A49" t="s">
        <v>26</v>
      </c>
      <c r="B49">
        <v>4350</v>
      </c>
      <c r="C49">
        <v>3986</v>
      </c>
      <c r="D49">
        <v>4257</v>
      </c>
      <c r="E49">
        <v>4235</v>
      </c>
      <c r="F49">
        <v>4591</v>
      </c>
      <c r="G49">
        <v>4307</v>
      </c>
      <c r="H49">
        <v>3843</v>
      </c>
      <c r="I49">
        <v>4235</v>
      </c>
      <c r="J49">
        <v>4076</v>
      </c>
      <c r="K49">
        <v>4488</v>
      </c>
    </row>
    <row r="50" spans="1:11" ht="15" customHeight="1" x14ac:dyDescent="0.2">
      <c r="A50" t="s">
        <v>30</v>
      </c>
      <c r="B50">
        <v>6787</v>
      </c>
      <c r="C50">
        <v>6117</v>
      </c>
      <c r="D50">
        <v>5793</v>
      </c>
      <c r="E50">
        <v>6369</v>
      </c>
      <c r="F50">
        <v>6860</v>
      </c>
      <c r="G50">
        <v>6482</v>
      </c>
      <c r="H50">
        <v>6035</v>
      </c>
      <c r="I50">
        <v>6545</v>
      </c>
      <c r="J50">
        <v>7412</v>
      </c>
      <c r="K50">
        <v>6712</v>
      </c>
    </row>
    <row r="55" spans="1:11" ht="15" customHeight="1" x14ac:dyDescent="0.2">
      <c r="A55" s="15" t="s">
        <v>31</v>
      </c>
    </row>
    <row r="56" spans="1:11" ht="15" customHeight="1" x14ac:dyDescent="0.2">
      <c r="A56" s="20" t="s">
        <v>12</v>
      </c>
      <c r="B56" s="21">
        <v>42825</v>
      </c>
      <c r="C56" s="21">
        <v>43190</v>
      </c>
      <c r="D56" s="21">
        <v>43555</v>
      </c>
      <c r="E56" s="21">
        <v>43921</v>
      </c>
      <c r="F56" s="21">
        <v>44286</v>
      </c>
      <c r="G56" s="21">
        <v>44651</v>
      </c>
      <c r="H56" s="21">
        <v>45016</v>
      </c>
      <c r="I56" s="21">
        <v>45382</v>
      </c>
      <c r="J56" s="21">
        <v>45747</v>
      </c>
      <c r="K56" s="21">
        <v>46112</v>
      </c>
    </row>
    <row r="57" spans="1:11" ht="15" customHeight="1" x14ac:dyDescent="0.2">
      <c r="A57" t="s">
        <v>32</v>
      </c>
      <c r="B57">
        <v>285</v>
      </c>
      <c r="C57">
        <v>278</v>
      </c>
      <c r="D57">
        <v>271</v>
      </c>
      <c r="E57">
        <v>543</v>
      </c>
      <c r="F57">
        <v>543</v>
      </c>
      <c r="G57">
        <v>543</v>
      </c>
      <c r="H57">
        <v>543</v>
      </c>
      <c r="I57">
        <v>543</v>
      </c>
      <c r="J57">
        <v>543</v>
      </c>
      <c r="K57">
        <v>543</v>
      </c>
    </row>
    <row r="58" spans="1:11" ht="15" customHeight="1" x14ac:dyDescent="0.2">
      <c r="A58" t="s">
        <v>33</v>
      </c>
      <c r="B58">
        <v>32664</v>
      </c>
      <c r="C58">
        <v>36108</v>
      </c>
      <c r="D58">
        <v>41095</v>
      </c>
      <c r="E58">
        <v>50724</v>
      </c>
      <c r="F58">
        <v>59370</v>
      </c>
      <c r="G58">
        <v>61371</v>
      </c>
      <c r="H58">
        <v>64862</v>
      </c>
      <c r="I58">
        <v>67720</v>
      </c>
      <c r="J58">
        <v>69112</v>
      </c>
      <c r="K58">
        <v>74622</v>
      </c>
    </row>
    <row r="59" spans="1:11" ht="15" customHeight="1" x14ac:dyDescent="0.2">
      <c r="A59" t="s">
        <v>34</v>
      </c>
      <c r="B59">
        <v>582</v>
      </c>
      <c r="C59">
        <v>557</v>
      </c>
      <c r="D59">
        <v>4195</v>
      </c>
      <c r="E59">
        <v>7986</v>
      </c>
      <c r="F59">
        <v>6864</v>
      </c>
      <c r="G59">
        <v>6343</v>
      </c>
      <c r="H59">
        <v>4794</v>
      </c>
      <c r="I59">
        <v>5758</v>
      </c>
      <c r="J59">
        <v>6276</v>
      </c>
      <c r="K59">
        <v>5215</v>
      </c>
    </row>
    <row r="60" spans="1:11" ht="15" customHeight="1" x14ac:dyDescent="0.2">
      <c r="A60" t="s">
        <v>35</v>
      </c>
      <c r="B60">
        <v>12231</v>
      </c>
      <c r="C60">
        <v>11046</v>
      </c>
      <c r="D60">
        <v>12788</v>
      </c>
      <c r="E60">
        <v>23566</v>
      </c>
      <c r="F60">
        <v>19270</v>
      </c>
      <c r="G60">
        <v>20664</v>
      </c>
      <c r="H60">
        <v>23051</v>
      </c>
      <c r="I60">
        <v>24985</v>
      </c>
      <c r="J60">
        <v>28549</v>
      </c>
      <c r="K60">
        <v>35878</v>
      </c>
    </row>
    <row r="61" spans="1:11" ht="15" customHeight="1" x14ac:dyDescent="0.2">
      <c r="A61" t="s">
        <v>36</v>
      </c>
      <c r="B61">
        <v>45762</v>
      </c>
      <c r="C61">
        <v>47989</v>
      </c>
      <c r="D61">
        <v>58349</v>
      </c>
      <c r="E61">
        <v>82819</v>
      </c>
      <c r="F61">
        <v>86047</v>
      </c>
      <c r="G61">
        <v>88921</v>
      </c>
      <c r="H61">
        <v>93250</v>
      </c>
      <c r="I61">
        <v>99006</v>
      </c>
      <c r="J61">
        <v>104480</v>
      </c>
      <c r="K61">
        <v>116258</v>
      </c>
    </row>
    <row r="62" spans="1:11" ht="15" customHeight="1" x14ac:dyDescent="0.2">
      <c r="A62" s="22" t="s">
        <v>37</v>
      </c>
      <c r="B62">
        <v>15235</v>
      </c>
      <c r="C62">
        <v>18753</v>
      </c>
      <c r="D62">
        <v>22888</v>
      </c>
      <c r="E62">
        <v>37490</v>
      </c>
      <c r="F62">
        <v>37145</v>
      </c>
      <c r="G62">
        <v>35077</v>
      </c>
      <c r="H62">
        <v>34619</v>
      </c>
      <c r="I62">
        <v>35063</v>
      </c>
      <c r="J62">
        <v>36172</v>
      </c>
      <c r="K62">
        <v>37379</v>
      </c>
    </row>
    <row r="63" spans="1:11" ht="15" customHeight="1" x14ac:dyDescent="0.2">
      <c r="A63" s="22" t="s">
        <v>38</v>
      </c>
      <c r="B63">
        <v>448</v>
      </c>
      <c r="C63">
        <v>320</v>
      </c>
      <c r="D63">
        <v>235</v>
      </c>
      <c r="E63">
        <v>400</v>
      </c>
      <c r="F63">
        <v>312</v>
      </c>
      <c r="G63">
        <v>129</v>
      </c>
      <c r="H63">
        <v>40</v>
      </c>
      <c r="I63">
        <v>108</v>
      </c>
      <c r="J63">
        <v>59</v>
      </c>
      <c r="K63">
        <v>60</v>
      </c>
    </row>
    <row r="64" spans="1:11" ht="15" customHeight="1" x14ac:dyDescent="0.2">
      <c r="A64" s="22" t="s">
        <v>39</v>
      </c>
      <c r="B64">
        <v>1306</v>
      </c>
      <c r="C64">
        <v>2660</v>
      </c>
      <c r="D64">
        <v>2305</v>
      </c>
      <c r="E64">
        <v>7066</v>
      </c>
      <c r="F64">
        <v>6862</v>
      </c>
      <c r="G64">
        <v>6351</v>
      </c>
      <c r="H64">
        <v>5495</v>
      </c>
      <c r="I64">
        <v>7137</v>
      </c>
      <c r="J64">
        <v>7564</v>
      </c>
      <c r="K64">
        <v>7090</v>
      </c>
    </row>
    <row r="65" spans="1:11" ht="15" customHeight="1" x14ac:dyDescent="0.2">
      <c r="A65" t="s">
        <v>40</v>
      </c>
      <c r="B65">
        <v>28773</v>
      </c>
      <c r="C65">
        <v>26256</v>
      </c>
      <c r="D65">
        <v>32921</v>
      </c>
      <c r="E65">
        <v>37863</v>
      </c>
      <c r="F65">
        <v>41728</v>
      </c>
      <c r="G65">
        <v>47364</v>
      </c>
      <c r="H65">
        <v>53096</v>
      </c>
      <c r="I65">
        <v>56698</v>
      </c>
      <c r="J65">
        <v>60685</v>
      </c>
      <c r="K65">
        <v>71729</v>
      </c>
    </row>
    <row r="66" spans="1:11" ht="15" customHeight="1" x14ac:dyDescent="0.2">
      <c r="A66" t="s">
        <v>36</v>
      </c>
      <c r="B66">
        <v>45762</v>
      </c>
      <c r="C66">
        <v>47989</v>
      </c>
      <c r="D66">
        <v>58349</v>
      </c>
      <c r="E66">
        <v>82819</v>
      </c>
      <c r="F66">
        <v>86047</v>
      </c>
      <c r="G66">
        <v>88921</v>
      </c>
      <c r="H66">
        <v>93250</v>
      </c>
      <c r="I66">
        <v>99006</v>
      </c>
      <c r="J66">
        <v>104480</v>
      </c>
      <c r="K66">
        <v>116258</v>
      </c>
    </row>
    <row r="67" spans="1:11" ht="15" customHeight="1" x14ac:dyDescent="0.2">
      <c r="A67" s="22" t="s">
        <v>41</v>
      </c>
      <c r="B67">
        <v>8301</v>
      </c>
      <c r="C67">
        <v>9639</v>
      </c>
      <c r="D67">
        <v>11706</v>
      </c>
      <c r="E67">
        <v>14131</v>
      </c>
      <c r="F67">
        <v>17525</v>
      </c>
      <c r="G67">
        <v>20671</v>
      </c>
      <c r="H67">
        <v>25506</v>
      </c>
      <c r="I67">
        <v>25521</v>
      </c>
      <c r="J67">
        <v>25842</v>
      </c>
      <c r="K67">
        <v>23585</v>
      </c>
    </row>
    <row r="68" spans="1:11" ht="15" customHeight="1" x14ac:dyDescent="0.2">
      <c r="A68" s="22" t="s">
        <v>42</v>
      </c>
      <c r="B68">
        <v>276</v>
      </c>
      <c r="C68">
        <v>172</v>
      </c>
      <c r="D68">
        <v>91</v>
      </c>
      <c r="E68">
        <v>91</v>
      </c>
      <c r="F68">
        <v>94</v>
      </c>
      <c r="G68">
        <v>161</v>
      </c>
      <c r="H68">
        <v>228</v>
      </c>
      <c r="I68">
        <v>185</v>
      </c>
      <c r="J68">
        <v>133</v>
      </c>
      <c r="K68">
        <v>239</v>
      </c>
    </row>
    <row r="69" spans="1:11" ht="15" customHeight="1" x14ac:dyDescent="0.2">
      <c r="A69" s="22" t="s">
        <v>43</v>
      </c>
      <c r="B69">
        <v>9044</v>
      </c>
      <c r="C69">
        <v>4018</v>
      </c>
      <c r="D69">
        <v>7872</v>
      </c>
      <c r="E69">
        <v>4976</v>
      </c>
      <c r="F69">
        <v>8888</v>
      </c>
      <c r="G69">
        <v>12636</v>
      </c>
      <c r="H69">
        <v>14724</v>
      </c>
      <c r="I69">
        <v>20150</v>
      </c>
      <c r="J69">
        <v>21289</v>
      </c>
      <c r="K69">
        <v>23425</v>
      </c>
    </row>
    <row r="70" spans="1:11" ht="15" customHeight="1" x14ac:dyDescent="0.2">
      <c r="A70" t="s">
        <v>44</v>
      </c>
      <c r="B70">
        <v>1426783424</v>
      </c>
      <c r="C70">
        <v>1392246384</v>
      </c>
      <c r="D70">
        <v>1356278868</v>
      </c>
      <c r="E70">
        <v>2713665096</v>
      </c>
      <c r="F70">
        <v>2713665096</v>
      </c>
      <c r="G70">
        <v>2713665096</v>
      </c>
      <c r="H70">
        <v>2713665096</v>
      </c>
      <c r="I70">
        <v>2713665096</v>
      </c>
      <c r="J70">
        <v>2713665096</v>
      </c>
    </row>
    <row r="71" spans="1:11" ht="15" customHeight="1" x14ac:dyDescent="0.2">
      <c r="A71" t="s">
        <v>45</v>
      </c>
    </row>
    <row r="72" spans="1:11" ht="15" customHeight="1" x14ac:dyDescent="0.2">
      <c r="A72" t="s">
        <v>46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80" spans="1:11" ht="15" customHeight="1" x14ac:dyDescent="0.2">
      <c r="A80" s="15" t="s">
        <v>47</v>
      </c>
    </row>
    <row r="81" spans="1:11" ht="15" customHeight="1" x14ac:dyDescent="0.2">
      <c r="A81" s="20" t="s">
        <v>12</v>
      </c>
      <c r="B81" s="21">
        <v>42825</v>
      </c>
      <c r="C81" s="21">
        <v>43190</v>
      </c>
      <c r="D81" s="21">
        <v>43555</v>
      </c>
      <c r="E81" s="21">
        <v>43921</v>
      </c>
      <c r="F81" s="21">
        <v>44286</v>
      </c>
      <c r="G81" s="21">
        <v>44651</v>
      </c>
      <c r="H81" s="21">
        <v>45016</v>
      </c>
      <c r="I81" s="21">
        <v>45382</v>
      </c>
      <c r="J81" s="21">
        <v>45747</v>
      </c>
      <c r="K81" s="21">
        <v>46112</v>
      </c>
    </row>
    <row r="82" spans="1:11" ht="15" customHeight="1" x14ac:dyDescent="0.2">
      <c r="A82" t="s">
        <v>48</v>
      </c>
      <c r="B82">
        <v>8995</v>
      </c>
      <c r="C82">
        <v>8328</v>
      </c>
      <c r="D82">
        <v>8971</v>
      </c>
      <c r="E82">
        <v>13359</v>
      </c>
      <c r="F82">
        <v>19618</v>
      </c>
      <c r="G82">
        <v>16900</v>
      </c>
      <c r="H82">
        <v>18009</v>
      </c>
      <c r="I82">
        <v>22448</v>
      </c>
      <c r="J82">
        <v>22261</v>
      </c>
      <c r="K82">
        <v>19975</v>
      </c>
    </row>
    <row r="83" spans="1:11" ht="15" customHeight="1" x14ac:dyDescent="0.2">
      <c r="A83" t="s">
        <v>49</v>
      </c>
      <c r="B83">
        <v>-3890</v>
      </c>
      <c r="C83">
        <v>-2236</v>
      </c>
      <c r="D83">
        <v>-3256</v>
      </c>
      <c r="E83">
        <v>-12332</v>
      </c>
      <c r="F83">
        <v>-5665</v>
      </c>
      <c r="G83">
        <v>1597</v>
      </c>
      <c r="H83">
        <v>-3573</v>
      </c>
      <c r="I83">
        <v>-6608</v>
      </c>
      <c r="J83">
        <v>-4896</v>
      </c>
      <c r="K83">
        <v>-1473</v>
      </c>
    </row>
    <row r="84" spans="1:11" ht="15" customHeight="1" x14ac:dyDescent="0.2">
      <c r="A84" t="s">
        <v>50</v>
      </c>
      <c r="B84">
        <v>-4517</v>
      </c>
      <c r="C84">
        <v>-5714</v>
      </c>
      <c r="D84">
        <v>-1471</v>
      </c>
      <c r="E84">
        <v>-3168</v>
      </c>
      <c r="F84">
        <v>-11192</v>
      </c>
      <c r="G84">
        <v>-14508</v>
      </c>
      <c r="H84">
        <v>-15881</v>
      </c>
      <c r="I84">
        <v>-15464</v>
      </c>
      <c r="J84">
        <v>-18561</v>
      </c>
      <c r="K84">
        <v>-19369</v>
      </c>
    </row>
    <row r="85" spans="1:11" ht="15" customHeight="1" x14ac:dyDescent="0.2">
      <c r="A85" t="s">
        <v>51</v>
      </c>
      <c r="B85">
        <v>588</v>
      </c>
      <c r="C85">
        <v>378</v>
      </c>
      <c r="D85">
        <v>4244</v>
      </c>
      <c r="E85">
        <v>-2141</v>
      </c>
      <c r="F85">
        <v>2761</v>
      </c>
      <c r="G85">
        <v>3989</v>
      </c>
      <c r="H85">
        <v>-1445</v>
      </c>
      <c r="I85">
        <v>376</v>
      </c>
      <c r="J85">
        <v>-1196</v>
      </c>
      <c r="K85">
        <v>-867</v>
      </c>
    </row>
    <row r="90" spans="1:11" ht="15" customHeight="1" x14ac:dyDescent="0.2">
      <c r="A90" s="15" t="s">
        <v>52</v>
      </c>
      <c r="B90">
        <v>437.38</v>
      </c>
      <c r="C90">
        <v>484.3</v>
      </c>
      <c r="D90">
        <v>543.73</v>
      </c>
      <c r="E90">
        <v>436.4</v>
      </c>
      <c r="F90">
        <v>982.65</v>
      </c>
      <c r="G90">
        <v>1163.75</v>
      </c>
      <c r="H90">
        <v>1085.25</v>
      </c>
      <c r="I90">
        <v>1543.55</v>
      </c>
      <c r="J90">
        <v>1592.5</v>
      </c>
      <c r="K90">
        <v>1341.6</v>
      </c>
    </row>
    <row r="92" spans="1:11" ht="15" customHeight="1" x14ac:dyDescent="0.2">
      <c r="A92" s="15" t="s">
        <v>53</v>
      </c>
    </row>
    <row r="93" spans="1:11" ht="15" customHeight="1" x14ac:dyDescent="0.2">
      <c r="A93" t="s">
        <v>54</v>
      </c>
      <c r="B93">
        <v>285.36</v>
      </c>
      <c r="C93">
        <v>278.45</v>
      </c>
      <c r="D93">
        <v>271.26</v>
      </c>
      <c r="E93">
        <v>271.37</v>
      </c>
      <c r="F93">
        <v>271.37</v>
      </c>
      <c r="G93">
        <v>271.37</v>
      </c>
      <c r="H93">
        <v>271.37</v>
      </c>
      <c r="I93">
        <v>271.37</v>
      </c>
      <c r="J93">
        <v>271.37</v>
      </c>
      <c r="K93">
        <v>271.37</v>
      </c>
    </row>
    <row r="99" spans="1:1" ht="15" customHeight="1" x14ac:dyDescent="0.2">
      <c r="A99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50"/>
  <sheetViews>
    <sheetView showGridLines="0" topLeftCell="A8" zoomScale="116" zoomScaleNormal="116" workbookViewId="0">
      <selection activeCell="B59" sqref="B59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18" customWidth="1"/>
    <col min="4" max="4" width="90" customWidth="1"/>
    <col min="5" max="17" width="18" customWidth="1"/>
  </cols>
  <sheetData>
    <row r="1" spans="2:15" ht="48" customHeight="1" x14ac:dyDescent="0.2">
      <c r="B1" s="14" t="s">
        <v>56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21.75" customHeight="1" x14ac:dyDescent="0.2">
      <c r="B2" s="13" t="s">
        <v>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ht="37.5" customHeight="1" x14ac:dyDescent="0.2">
      <c r="B3" s="23" t="s">
        <v>58</v>
      </c>
    </row>
    <row r="4" spans="2:15" ht="21.75" customHeight="1" x14ac:dyDescent="0.2">
      <c r="B4" s="12" t="s">
        <v>59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2:15" ht="19.5" customHeight="1" x14ac:dyDescent="0.2">
      <c r="B5" s="11" t="s">
        <v>60</v>
      </c>
      <c r="C5" s="11"/>
      <c r="D5" s="10"/>
      <c r="E5" s="10"/>
      <c r="F5" s="10"/>
      <c r="G5" s="10"/>
    </row>
    <row r="6" spans="2:15" ht="19.5" customHeight="1" x14ac:dyDescent="0.2">
      <c r="B6" s="11" t="s">
        <v>61</v>
      </c>
      <c r="C6" s="11"/>
      <c r="D6" s="10"/>
      <c r="E6" s="10"/>
      <c r="F6" s="10"/>
      <c r="G6" s="10"/>
    </row>
    <row r="7" spans="2:15" ht="19.5" customHeight="1" x14ac:dyDescent="0.2">
      <c r="B7" s="11" t="s">
        <v>62</v>
      </c>
      <c r="C7" s="11"/>
      <c r="D7" s="10"/>
      <c r="E7" s="10"/>
      <c r="F7" s="10"/>
      <c r="G7" s="10"/>
    </row>
    <row r="8" spans="2:15" ht="19.5" customHeight="1" x14ac:dyDescent="0.2">
      <c r="B8" s="11" t="s">
        <v>63</v>
      </c>
      <c r="C8" s="11"/>
      <c r="D8" s="10"/>
      <c r="E8" s="10"/>
      <c r="F8" s="10"/>
      <c r="G8" s="10"/>
    </row>
    <row r="9" spans="2:15" ht="19.5" customHeight="1" x14ac:dyDescent="0.2">
      <c r="B9" s="11" t="s">
        <v>64</v>
      </c>
      <c r="C9" s="11"/>
      <c r="D9" s="10"/>
      <c r="E9" s="10"/>
      <c r="F9" s="10"/>
      <c r="G9" s="10"/>
    </row>
    <row r="10" spans="2:15" ht="7.5" customHeight="1" x14ac:dyDescent="0.2"/>
    <row r="11" spans="2:15" ht="21.75" customHeight="1" x14ac:dyDescent="0.2">
      <c r="B11" s="12" t="s">
        <v>65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2:15" ht="18" customHeight="1" x14ac:dyDescent="0.2">
      <c r="B12" s="9" t="s">
        <v>66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2:15" ht="18" customHeight="1" x14ac:dyDescent="0.2">
      <c r="B13" s="8" t="s">
        <v>67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2:15" ht="18" customHeight="1" x14ac:dyDescent="0.2">
      <c r="B14" s="7" t="s">
        <v>68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5" ht="18" customHeight="1" x14ac:dyDescent="0.2">
      <c r="B15" s="6" t="s">
        <v>69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2:15" ht="18" customHeight="1" x14ac:dyDescent="0.2">
      <c r="B16" s="5" t="s">
        <v>70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ht="18" customHeight="1" x14ac:dyDescent="0.2">
      <c r="B17" s="4" t="s">
        <v>71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ht="7.5" customHeight="1" x14ac:dyDescent="0.2"/>
    <row r="19" spans="2:15" ht="21.75" customHeight="1" x14ac:dyDescent="0.2">
      <c r="B19" s="12" t="s">
        <v>72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2:15" ht="30" customHeight="1" x14ac:dyDescent="0.2">
      <c r="B20" s="3" t="s">
        <v>73</v>
      </c>
      <c r="C20" s="3"/>
      <c r="D20" s="2" t="s">
        <v>74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ht="30" customHeight="1" x14ac:dyDescent="0.2">
      <c r="B21" s="3" t="s">
        <v>75</v>
      </c>
      <c r="C21" s="3"/>
      <c r="D21" s="1" t="s">
        <v>76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30" customHeight="1" x14ac:dyDescent="0.2">
      <c r="B22" s="3" t="s">
        <v>77</v>
      </c>
      <c r="C22" s="3"/>
      <c r="D22" s="2" t="s">
        <v>78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ht="30" customHeight="1" x14ac:dyDescent="0.2">
      <c r="B23" s="3" t="s">
        <v>79</v>
      </c>
      <c r="C23" s="3"/>
      <c r="D23" s="1" t="s">
        <v>80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36" customHeight="1" x14ac:dyDescent="0.2">
      <c r="B24" s="3" t="s">
        <v>81</v>
      </c>
      <c r="C24" s="3"/>
      <c r="D24" s="2" t="s">
        <v>82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ht="30" customHeight="1" x14ac:dyDescent="0.2">
      <c r="B25" s="3" t="s">
        <v>21</v>
      </c>
      <c r="C25" s="3"/>
      <c r="D25" s="1" t="s">
        <v>83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30" customHeight="1" x14ac:dyDescent="0.2">
      <c r="B26" s="25" t="s">
        <v>84</v>
      </c>
      <c r="D26" s="26" t="s">
        <v>85</v>
      </c>
    </row>
    <row r="27" spans="2:15" ht="21.75" customHeight="1" x14ac:dyDescent="0.2">
      <c r="B27" s="12" t="s">
        <v>86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2:15" ht="21.75" customHeight="1" x14ac:dyDescent="0.2">
      <c r="B28" s="27" t="s">
        <v>87</v>
      </c>
      <c r="C28" s="28" t="s">
        <v>88</v>
      </c>
      <c r="D28" s="210" t="s">
        <v>89</v>
      </c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</row>
    <row r="29" spans="2:15" ht="27.75" customHeight="1" x14ac:dyDescent="0.2">
      <c r="B29" s="29" t="s">
        <v>90</v>
      </c>
      <c r="C29" s="30" t="s">
        <v>88</v>
      </c>
      <c r="D29" s="2" t="s">
        <v>91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2:15" ht="27.75" customHeight="1" x14ac:dyDescent="0.2">
      <c r="B30" s="29" t="s">
        <v>92</v>
      </c>
      <c r="C30" s="30" t="s">
        <v>93</v>
      </c>
      <c r="D30" s="1" t="s">
        <v>94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27.75" customHeight="1" x14ac:dyDescent="0.2">
      <c r="B31" s="29" t="s">
        <v>95</v>
      </c>
      <c r="C31" s="30" t="s">
        <v>96</v>
      </c>
      <c r="D31" s="2" t="s">
        <v>97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2:15" ht="27.75" customHeight="1" x14ac:dyDescent="0.2">
      <c r="B32" s="29" t="s">
        <v>98</v>
      </c>
      <c r="C32" s="30" t="s">
        <v>99</v>
      </c>
      <c r="D32" s="1" t="s">
        <v>100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27.75" customHeight="1" x14ac:dyDescent="0.2">
      <c r="B33" s="29" t="s">
        <v>101</v>
      </c>
      <c r="C33" s="30" t="s">
        <v>102</v>
      </c>
      <c r="D33" s="2" t="s">
        <v>103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ht="27.75" customHeight="1" x14ac:dyDescent="0.2">
      <c r="B34" s="31" t="s">
        <v>104</v>
      </c>
      <c r="C34" s="32" t="s">
        <v>105</v>
      </c>
      <c r="D34" s="33" t="s">
        <v>106</v>
      </c>
    </row>
    <row r="35" spans="2:15" ht="27.75" customHeight="1" x14ac:dyDescent="0.2">
      <c r="B35" s="31" t="s">
        <v>107</v>
      </c>
      <c r="C35" s="32" t="s">
        <v>108</v>
      </c>
      <c r="D35" s="26" t="s">
        <v>109</v>
      </c>
    </row>
    <row r="37" spans="2:15" ht="15" customHeight="1" x14ac:dyDescent="0.2">
      <c r="B37" s="211" t="s">
        <v>110</v>
      </c>
      <c r="C37" s="211"/>
      <c r="D37" s="211"/>
    </row>
    <row r="38" spans="2:15" ht="15" customHeight="1" x14ac:dyDescent="0.2">
      <c r="B38" s="34" t="s">
        <v>111</v>
      </c>
      <c r="C38" s="34" t="s">
        <v>112</v>
      </c>
      <c r="D38" s="34" t="s">
        <v>113</v>
      </c>
    </row>
    <row r="39" spans="2:15" ht="24" customHeight="1" x14ac:dyDescent="0.2">
      <c r="B39" s="35" t="s">
        <v>114</v>
      </c>
      <c r="C39" s="36" t="s">
        <v>115</v>
      </c>
      <c r="D39" s="37" t="s">
        <v>116</v>
      </c>
    </row>
    <row r="40" spans="2:15" ht="24" customHeight="1" x14ac:dyDescent="0.2">
      <c r="B40" s="38" t="s">
        <v>117</v>
      </c>
      <c r="C40" s="39" t="s">
        <v>115</v>
      </c>
      <c r="D40" s="40" t="s">
        <v>118</v>
      </c>
    </row>
    <row r="41" spans="2:15" ht="24" customHeight="1" x14ac:dyDescent="0.2">
      <c r="B41" s="35" t="s">
        <v>119</v>
      </c>
      <c r="C41" s="36" t="s">
        <v>115</v>
      </c>
      <c r="D41" s="37" t="s">
        <v>120</v>
      </c>
    </row>
    <row r="42" spans="2:15" ht="24" customHeight="1" x14ac:dyDescent="0.2">
      <c r="B42" s="38" t="s">
        <v>121</v>
      </c>
      <c r="C42" s="39" t="s">
        <v>115</v>
      </c>
      <c r="D42" s="40" t="s">
        <v>122</v>
      </c>
    </row>
    <row r="43" spans="2:15" ht="24" customHeight="1" x14ac:dyDescent="0.2">
      <c r="B43" s="35" t="s">
        <v>123</v>
      </c>
      <c r="C43" s="36" t="s">
        <v>124</v>
      </c>
      <c r="D43" s="37" t="s">
        <v>125</v>
      </c>
    </row>
    <row r="44" spans="2:15" ht="24" customHeight="1" x14ac:dyDescent="0.2">
      <c r="B44" s="38" t="s">
        <v>126</v>
      </c>
      <c r="C44" s="39" t="s">
        <v>127</v>
      </c>
      <c r="D44" s="40" t="s">
        <v>128</v>
      </c>
    </row>
    <row r="45" spans="2:15" ht="24" customHeight="1" x14ac:dyDescent="0.2">
      <c r="B45" s="35" t="s">
        <v>129</v>
      </c>
      <c r="C45" s="36" t="s">
        <v>130</v>
      </c>
      <c r="D45" s="37" t="s">
        <v>131</v>
      </c>
    </row>
    <row r="46" spans="2:15" ht="24" customHeight="1" x14ac:dyDescent="0.2">
      <c r="B46" s="38" t="s">
        <v>132</v>
      </c>
      <c r="C46" s="39" t="s">
        <v>133</v>
      </c>
      <c r="D46" s="40" t="s">
        <v>134</v>
      </c>
    </row>
    <row r="47" spans="2:15" ht="24" customHeight="1" x14ac:dyDescent="0.2">
      <c r="B47" s="35" t="s">
        <v>135</v>
      </c>
      <c r="C47" s="36" t="s">
        <v>136</v>
      </c>
      <c r="D47" s="37" t="s">
        <v>137</v>
      </c>
    </row>
    <row r="48" spans="2:15" ht="24" customHeight="1" x14ac:dyDescent="0.2">
      <c r="B48" s="38" t="s">
        <v>138</v>
      </c>
      <c r="C48" s="39" t="s">
        <v>139</v>
      </c>
      <c r="D48" s="40" t="s">
        <v>140</v>
      </c>
    </row>
    <row r="49" spans="2:4" ht="24" customHeight="1" x14ac:dyDescent="0.2">
      <c r="B49" s="35" t="s">
        <v>141</v>
      </c>
      <c r="C49" s="36" t="s">
        <v>115</v>
      </c>
      <c r="D49" s="37" t="s">
        <v>142</v>
      </c>
    </row>
    <row r="50" spans="2:4" ht="24" customHeight="1" x14ac:dyDescent="0.2">
      <c r="B50" s="38" t="s">
        <v>143</v>
      </c>
      <c r="C50" s="39" t="s">
        <v>144</v>
      </c>
      <c r="D50" s="40" t="s">
        <v>145</v>
      </c>
    </row>
  </sheetData>
  <mergeCells count="41">
    <mergeCell ref="D32:O32"/>
    <mergeCell ref="D33:O33"/>
    <mergeCell ref="B37:D37"/>
    <mergeCell ref="B27:O27"/>
    <mergeCell ref="D28:O28"/>
    <mergeCell ref="D29:O29"/>
    <mergeCell ref="D30:O30"/>
    <mergeCell ref="D31:O31"/>
    <mergeCell ref="B23:C23"/>
    <mergeCell ref="D23:O23"/>
    <mergeCell ref="B24:C24"/>
    <mergeCell ref="D24:O24"/>
    <mergeCell ref="B25:C25"/>
    <mergeCell ref="D25:O25"/>
    <mergeCell ref="B20:C20"/>
    <mergeCell ref="D20:O20"/>
    <mergeCell ref="B21:C21"/>
    <mergeCell ref="D21:O21"/>
    <mergeCell ref="B22:C22"/>
    <mergeCell ref="D22:O22"/>
    <mergeCell ref="B14:O14"/>
    <mergeCell ref="B15:O15"/>
    <mergeCell ref="B16:O16"/>
    <mergeCell ref="B17:O17"/>
    <mergeCell ref="B19:O19"/>
    <mergeCell ref="B9:C9"/>
    <mergeCell ref="D9:G9"/>
    <mergeCell ref="B11:O11"/>
    <mergeCell ref="B12:O12"/>
    <mergeCell ref="B13:O13"/>
    <mergeCell ref="B6:C6"/>
    <mergeCell ref="D6:G6"/>
    <mergeCell ref="B7:C7"/>
    <mergeCell ref="D7:G7"/>
    <mergeCell ref="B8:C8"/>
    <mergeCell ref="D8:G8"/>
    <mergeCell ref="B1:O1"/>
    <mergeCell ref="B2:O2"/>
    <mergeCell ref="B4:O4"/>
    <mergeCell ref="B5:C5"/>
    <mergeCell ref="D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1"/>
  <sheetViews>
    <sheetView showGridLines="0" zoomScaleNormal="100" workbookViewId="0">
      <pane xSplit="2" ySplit="4" topLeftCell="C56" activePane="bottomRight" state="frozen"/>
      <selection pane="topRight" activeCell="C1" sqref="C1"/>
      <selection pane="bottomLeft" activeCell="A53" sqref="A53"/>
      <selection pane="bottomRight" activeCell="D66" sqref="D66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7" width="13" customWidth="1"/>
    <col min="8" max="8" width="4" customWidth="1"/>
    <col min="9" max="9" width="80.33203125" style="41" customWidth="1"/>
  </cols>
  <sheetData>
    <row r="1" spans="2:9" ht="27.75" customHeight="1" x14ac:dyDescent="0.2">
      <c r="B1" s="212" t="s">
        <v>146</v>
      </c>
      <c r="C1" s="212"/>
      <c r="D1" s="212"/>
      <c r="E1" s="212"/>
      <c r="F1" s="212"/>
      <c r="G1" s="212"/>
      <c r="H1" s="212"/>
      <c r="I1" s="212"/>
    </row>
    <row r="2" spans="2:9" ht="30" customHeight="1" x14ac:dyDescent="0.2">
      <c r="B2" s="213" t="s">
        <v>147</v>
      </c>
      <c r="C2" s="213"/>
      <c r="D2" s="213"/>
      <c r="E2" s="213"/>
      <c r="F2" s="213"/>
      <c r="G2" s="213"/>
      <c r="H2" s="213"/>
    </row>
    <row r="3" spans="2:9" ht="21.75" customHeight="1" x14ac:dyDescent="0.2">
      <c r="B3" s="12" t="s">
        <v>148</v>
      </c>
      <c r="C3" s="12"/>
      <c r="D3" s="12"/>
      <c r="E3" s="12"/>
      <c r="F3" s="12"/>
      <c r="G3" s="12"/>
      <c r="H3" s="12"/>
      <c r="I3" s="12"/>
    </row>
    <row r="4" spans="2:9" ht="19.5" customHeight="1" x14ac:dyDescent="0.2">
      <c r="B4" s="42" t="s">
        <v>149</v>
      </c>
      <c r="C4" s="43" t="str">
        <f>IFERROR("FY"&amp;TEXT('Data Sheet'!G16,"YYYY"),"FY2022")</f>
        <v>FY2022</v>
      </c>
      <c r="D4" s="43" t="str">
        <f>IFERROR("FY"&amp;TEXT('Data Sheet'!H16,"YYYY"),"FY2023")</f>
        <v>FY2023</v>
      </c>
      <c r="E4" s="43" t="str">
        <f>IFERROR("FY"&amp;TEXT('Data Sheet'!I16,"YYYY"),"FY2024")</f>
        <v>FY2024</v>
      </c>
      <c r="F4" s="43" t="str">
        <f>IFERROR("FY"&amp;TEXT('Data Sheet'!J16,"YYYY"),"FY2025")</f>
        <v>FY2025</v>
      </c>
      <c r="G4" s="43" t="str">
        <f>IFERROR("FY"&amp;TEXT('Data Sheet'!K16,"YYYY"),"FY2026")</f>
        <v>FY2026</v>
      </c>
      <c r="I4" s="44" t="s">
        <v>150</v>
      </c>
    </row>
    <row r="5" spans="2:9" ht="15" customHeight="1" x14ac:dyDescent="0.2">
      <c r="B5" s="24" t="s">
        <v>13</v>
      </c>
      <c r="C5" s="45">
        <f>IFERROR('Data Sheet'!G17,0)</f>
        <v>85651</v>
      </c>
      <c r="D5" s="45">
        <f>IFERROR('Data Sheet'!H17,0)</f>
        <v>101456</v>
      </c>
      <c r="E5" s="45">
        <f>IFERROR('Data Sheet'!I17,0)</f>
        <v>109913</v>
      </c>
      <c r="F5" s="45">
        <f>IFERROR('Data Sheet'!J17,0)</f>
        <v>117055</v>
      </c>
      <c r="G5" s="45">
        <f>IFERROR('Data Sheet'!K17,0)</f>
        <v>130144</v>
      </c>
      <c r="I5" s="46" t="s">
        <v>151</v>
      </c>
    </row>
    <row r="6" spans="2:9" ht="18" customHeight="1" x14ac:dyDescent="0.2">
      <c r="B6" s="24" t="s">
        <v>152</v>
      </c>
      <c r="C6" s="47">
        <f>IFERROR('Data Sheet'!G28+'Data Sheet'!G26+'Data Sheet'!G27-'Data Sheet'!G25,0)</f>
        <v>20529</v>
      </c>
      <c r="D6" s="47">
        <f>IFERROR('Data Sheet'!H28+'Data Sheet'!H26+'Data Sheet'!H27-'Data Sheet'!H25,0)</f>
        <v>22628</v>
      </c>
      <c r="E6" s="47">
        <f>IFERROR('Data Sheet'!I28+'Data Sheet'!I26+'Data Sheet'!I27-'Data Sheet'!I25,0)</f>
        <v>24198</v>
      </c>
      <c r="F6" s="47">
        <f>IFERROR('Data Sheet'!J28+'Data Sheet'!J26+'Data Sheet'!J27-'Data Sheet'!J25,0)</f>
        <v>25504</v>
      </c>
      <c r="G6" s="47">
        <f>IFERROR('Data Sheet'!K28+'Data Sheet'!K26+'Data Sheet'!K27-'Data Sheet'!K25,0)</f>
        <v>26752</v>
      </c>
      <c r="I6" s="46" t="s">
        <v>153</v>
      </c>
    </row>
    <row r="7" spans="2:9" ht="18" customHeight="1" x14ac:dyDescent="0.2">
      <c r="B7" s="24" t="s">
        <v>21</v>
      </c>
      <c r="C7" s="45">
        <f>IFERROR('Data Sheet'!G25,0)</f>
        <v>1067</v>
      </c>
      <c r="D7" s="45">
        <f>IFERROR('Data Sheet'!H25,0)</f>
        <v>1358</v>
      </c>
      <c r="E7" s="45">
        <f>IFERROR('Data Sheet'!I25,0)</f>
        <v>1495</v>
      </c>
      <c r="F7" s="45">
        <f>IFERROR('Data Sheet'!J25,0)</f>
        <v>2485</v>
      </c>
      <c r="G7" s="45">
        <f>IFERROR('Data Sheet'!K25,0)</f>
        <v>574</v>
      </c>
      <c r="I7" s="46" t="s">
        <v>154</v>
      </c>
    </row>
    <row r="8" spans="2:9" ht="18" customHeight="1" x14ac:dyDescent="0.2">
      <c r="B8" s="24" t="s">
        <v>23</v>
      </c>
      <c r="C8" s="45">
        <f>IFERROR('Data Sheet'!G27,0)</f>
        <v>319</v>
      </c>
      <c r="D8" s="45">
        <f>IFERROR('Data Sheet'!H27,0)</f>
        <v>353</v>
      </c>
      <c r="E8" s="45">
        <f>IFERROR('Data Sheet'!I27,0)</f>
        <v>553</v>
      </c>
      <c r="F8" s="45">
        <f>IFERROR('Data Sheet'!J27,0)</f>
        <v>644</v>
      </c>
      <c r="G8" s="45">
        <f>IFERROR('Data Sheet'!K27,0)</f>
        <v>869</v>
      </c>
      <c r="I8" s="46" t="s">
        <v>155</v>
      </c>
    </row>
    <row r="9" spans="2:9" ht="18" customHeight="1" x14ac:dyDescent="0.2">
      <c r="B9" s="24" t="s">
        <v>156</v>
      </c>
      <c r="C9" s="45">
        <f>IFERROR('Data Sheet'!G26,0)</f>
        <v>4326</v>
      </c>
      <c r="D9" s="45">
        <f>IFERROR('Data Sheet'!H26,0)</f>
        <v>4145</v>
      </c>
      <c r="E9" s="45">
        <f>IFERROR('Data Sheet'!I26,0)</f>
        <v>4173</v>
      </c>
      <c r="F9" s="45">
        <f>IFERROR('Data Sheet'!J26,0)</f>
        <v>4084</v>
      </c>
      <c r="G9" s="45">
        <f>IFERROR('Data Sheet'!K26,0)</f>
        <v>4355</v>
      </c>
      <c r="I9" s="46" t="s">
        <v>157</v>
      </c>
    </row>
    <row r="10" spans="2:9" ht="18" customHeight="1" x14ac:dyDescent="0.2">
      <c r="B10" s="24" t="s">
        <v>158</v>
      </c>
      <c r="C10" s="45">
        <f>IFERROR('Data Sheet'!G28,0)</f>
        <v>16951</v>
      </c>
      <c r="D10" s="45">
        <f>IFERROR('Data Sheet'!H28,0)</f>
        <v>19488</v>
      </c>
      <c r="E10" s="45">
        <f>IFERROR('Data Sheet'!I28,0)</f>
        <v>20967</v>
      </c>
      <c r="F10" s="45">
        <f>IFERROR('Data Sheet'!J28,0)</f>
        <v>23261</v>
      </c>
      <c r="G10" s="45">
        <f>IFERROR('Data Sheet'!K28,0)</f>
        <v>22102</v>
      </c>
      <c r="I10" s="46" t="s">
        <v>159</v>
      </c>
    </row>
    <row r="11" spans="2:9" ht="18" customHeight="1" x14ac:dyDescent="0.2">
      <c r="B11" s="24" t="s">
        <v>160</v>
      </c>
      <c r="C11" s="48">
        <f>IFERROR('Data Sheet'!G29/'Data Sheet'!G28,0)</f>
        <v>0.20222995693469412</v>
      </c>
      <c r="D11" s="48">
        <f>IFERROR('Data Sheet'!H29/'Data Sheet'!H28,0)</f>
        <v>0.23824917898193759</v>
      </c>
      <c r="E11" s="48">
        <f>IFERROR('Data Sheet'!I29/'Data Sheet'!I28,0)</f>
        <v>0.25072733342872133</v>
      </c>
      <c r="F11" s="48">
        <f>IFERROR('Data Sheet'!J29/'Data Sheet'!J28,0)</f>
        <v>0.25200980181419541</v>
      </c>
      <c r="G11" s="48">
        <f>IFERROR('Data Sheet'!K29/'Data Sheet'!K28,0)</f>
        <v>0.24658401954574247</v>
      </c>
      <c r="I11" s="46" t="s">
        <v>161</v>
      </c>
    </row>
    <row r="12" spans="2:9" ht="18" customHeight="1" x14ac:dyDescent="0.2">
      <c r="B12" s="24" t="s">
        <v>162</v>
      </c>
      <c r="C12" s="45">
        <f>IFERROR('Data Sheet'!G29,0)</f>
        <v>3428</v>
      </c>
      <c r="D12" s="45">
        <f>IFERROR('Data Sheet'!H29,0)</f>
        <v>4643</v>
      </c>
      <c r="E12" s="45">
        <f>IFERROR('Data Sheet'!I29,0)</f>
        <v>5257</v>
      </c>
      <c r="F12" s="45">
        <f>IFERROR('Data Sheet'!J29,0)</f>
        <v>5862</v>
      </c>
      <c r="G12" s="45">
        <f>IFERROR('Data Sheet'!K29,0)</f>
        <v>5450</v>
      </c>
      <c r="I12" s="49"/>
    </row>
    <row r="13" spans="2:9" ht="18" customHeight="1" x14ac:dyDescent="0.2">
      <c r="B13" s="50" t="s">
        <v>163</v>
      </c>
      <c r="C13" s="51">
        <f>IFERROR(C12/C10,0)</f>
        <v>0.20222995693469412</v>
      </c>
      <c r="D13" s="51">
        <f>IFERROR(D12/D10,0)</f>
        <v>0.23824917898193759</v>
      </c>
      <c r="E13" s="51">
        <f>IFERROR(E12/E10,0)</f>
        <v>0.25072733342872133</v>
      </c>
      <c r="F13" s="51">
        <f>IFERROR(F12/F10,0)</f>
        <v>0.25200980181419541</v>
      </c>
      <c r="G13" s="51">
        <f>IFERROR(G12/G10,0)</f>
        <v>0.24658401954574247</v>
      </c>
      <c r="I13" s="49"/>
    </row>
    <row r="14" spans="2:9" ht="18" customHeight="1" x14ac:dyDescent="0.2">
      <c r="B14" s="24" t="s">
        <v>164</v>
      </c>
      <c r="C14" s="52">
        <f>IFERROR('Data Sheet'!G30,0)</f>
        <v>13499</v>
      </c>
      <c r="D14" s="52">
        <f>IFERROR('Data Sheet'!H30,0)</f>
        <v>14851</v>
      </c>
      <c r="E14" s="52">
        <f>IFERROR('Data Sheet'!I30,0)</f>
        <v>15702</v>
      </c>
      <c r="F14" s="52">
        <f>IFERROR('Data Sheet'!J30,0)</f>
        <v>17390</v>
      </c>
      <c r="G14" s="52">
        <f>IFERROR('Data Sheet'!K30,0)</f>
        <v>16642</v>
      </c>
      <c r="I14" s="46" t="s">
        <v>165</v>
      </c>
    </row>
    <row r="15" spans="2:9" ht="18" customHeight="1" x14ac:dyDescent="0.2">
      <c r="B15" s="24" t="s">
        <v>166</v>
      </c>
      <c r="C15" s="53">
        <v>-24</v>
      </c>
      <c r="D15" s="53">
        <v>6</v>
      </c>
      <c r="E15" s="53">
        <v>-8</v>
      </c>
      <c r="F15" s="53">
        <v>-9</v>
      </c>
      <c r="G15" s="53">
        <v>-10</v>
      </c>
      <c r="I15" s="46" t="s">
        <v>167</v>
      </c>
    </row>
    <row r="16" spans="2:9" ht="18" customHeight="1" x14ac:dyDescent="0.2">
      <c r="B16" s="24" t="s">
        <v>168</v>
      </c>
      <c r="C16" s="47">
        <f>IFERROR(C14+C15,0)</f>
        <v>13475</v>
      </c>
      <c r="D16" s="47">
        <f>IFERROR(D14+D15,0)</f>
        <v>14857</v>
      </c>
      <c r="E16" s="47">
        <f>IFERROR(E14+E15,0)</f>
        <v>15694</v>
      </c>
      <c r="F16" s="47">
        <f>IFERROR(F14+F15,0)</f>
        <v>17381</v>
      </c>
      <c r="G16" s="47">
        <f>IFERROR(G14+G15,0)</f>
        <v>16632</v>
      </c>
      <c r="I16" s="49"/>
    </row>
    <row r="17" spans="2:9" ht="19.5" customHeight="1" x14ac:dyDescent="0.2">
      <c r="B17" s="214" t="s">
        <v>149</v>
      </c>
      <c r="C17" s="214"/>
      <c r="D17" s="214"/>
      <c r="E17" s="214"/>
      <c r="F17" s="214"/>
      <c r="G17" s="214"/>
      <c r="H17" s="214"/>
      <c r="I17" s="214"/>
    </row>
    <row r="18" spans="2:9" ht="18" customHeight="1" x14ac:dyDescent="0.2">
      <c r="B18" s="24" t="s">
        <v>169</v>
      </c>
      <c r="C18" s="47">
        <f>IFERROR(C6-C9,0)</f>
        <v>16203</v>
      </c>
      <c r="D18" s="47">
        <f>IFERROR(D6-D9,0)</f>
        <v>18483</v>
      </c>
      <c r="E18" s="47">
        <f>IFERROR(E6-E9,0)</f>
        <v>20025</v>
      </c>
      <c r="F18" s="47">
        <f>IFERROR(F6-F9,0)</f>
        <v>21420</v>
      </c>
      <c r="G18" s="47">
        <f>IFERROR(G6-G9,0)</f>
        <v>22397</v>
      </c>
      <c r="I18" s="49"/>
    </row>
    <row r="19" spans="2:9" ht="18" customHeight="1" x14ac:dyDescent="0.2">
      <c r="B19" s="24" t="s">
        <v>75</v>
      </c>
      <c r="C19" s="48">
        <f>IFERROR(C6/C5,0)</f>
        <v>0.23968196518429441</v>
      </c>
      <c r="D19" s="48">
        <f>IFERROR(D6/D5,0)</f>
        <v>0.22303264469326606</v>
      </c>
      <c r="E19" s="48">
        <f>IFERROR(E6/E5,0)</f>
        <v>0.22015594151738194</v>
      </c>
      <c r="F19" s="48">
        <f>IFERROR(F6/F5,0)</f>
        <v>0.21788048353338174</v>
      </c>
      <c r="G19" s="48">
        <f>IFERROR(G6/G5,0)</f>
        <v>0.20555692156380626</v>
      </c>
      <c r="I19" s="54" t="s">
        <v>170</v>
      </c>
    </row>
    <row r="20" spans="2:9" ht="18" customHeight="1" x14ac:dyDescent="0.2">
      <c r="B20" s="33" t="s">
        <v>171</v>
      </c>
      <c r="C20" s="48">
        <f>IFERROR(C16/C5,0)</f>
        <v>0.15732449124937245</v>
      </c>
      <c r="D20" s="48">
        <f>IFERROR(D16/D5,0)</f>
        <v>0.14643786469011197</v>
      </c>
      <c r="E20" s="48">
        <f>IFERROR(E16/E5,0)</f>
        <v>0.14278565774749119</v>
      </c>
      <c r="F20" s="48">
        <f>IFERROR(F16/F5,0)</f>
        <v>0.1484857545598223</v>
      </c>
      <c r="G20" s="48">
        <f>IFERROR(G16/G5,0)</f>
        <v>0.12779690189328743</v>
      </c>
      <c r="I20" s="49"/>
    </row>
    <row r="21" spans="2:9" ht="18" customHeight="1" x14ac:dyDescent="0.2">
      <c r="B21" s="24" t="s">
        <v>172</v>
      </c>
      <c r="C21" s="48" t="s">
        <v>173</v>
      </c>
      <c r="D21" s="48">
        <f>IFERROR((D5-C5)/C5,0)</f>
        <v>0.18452790977338268</v>
      </c>
      <c r="E21" s="48">
        <f>IFERROR((E5-D5)/D5,0)</f>
        <v>8.3356331808862955E-2</v>
      </c>
      <c r="F21" s="48">
        <f>IFERROR((F5-E5)/E5,0)</f>
        <v>6.4978664944092143E-2</v>
      </c>
      <c r="G21" s="48">
        <f>IFERROR((G5-F5)/F5,0)</f>
        <v>0.11181923027636581</v>
      </c>
      <c r="I21" s="54" t="s">
        <v>174</v>
      </c>
    </row>
    <row r="22" spans="2:9" ht="18" customHeight="1" x14ac:dyDescent="0.2"/>
    <row r="23" spans="2:9" ht="21.75" customHeight="1" x14ac:dyDescent="0.2">
      <c r="B23" s="12" t="s">
        <v>175</v>
      </c>
      <c r="C23" s="12"/>
      <c r="D23" s="12"/>
      <c r="E23" s="12"/>
      <c r="F23" s="12"/>
      <c r="G23" s="12"/>
      <c r="H23" s="12"/>
      <c r="I23" s="12"/>
    </row>
    <row r="24" spans="2:9" ht="21.75" customHeight="1" x14ac:dyDescent="0.2">
      <c r="B24" s="215" t="s">
        <v>176</v>
      </c>
      <c r="C24" s="215"/>
      <c r="D24" s="215"/>
      <c r="E24" s="215"/>
      <c r="F24" s="215"/>
      <c r="G24" s="215"/>
      <c r="H24" s="215"/>
    </row>
    <row r="25" spans="2:9" ht="19.5" customHeight="1" x14ac:dyDescent="0.2">
      <c r="B25" s="42" t="s">
        <v>149</v>
      </c>
      <c r="C25" s="43" t="str">
        <f>IFERROR("FY"&amp;TEXT('Data Sheet'!G16,"YYYY"),"FY2022")</f>
        <v>FY2022</v>
      </c>
      <c r="D25" s="43" t="str">
        <f>IFERROR("FY"&amp;TEXT('Data Sheet'!H16,"YYYY"),"FY2023")</f>
        <v>FY2023</v>
      </c>
      <c r="E25" s="43" t="str">
        <f>IFERROR("FY"&amp;TEXT('Data Sheet'!I16,"YYYY"),"FY2024")</f>
        <v>FY2024</v>
      </c>
      <c r="F25" s="43" t="str">
        <f>IFERROR("FY"&amp;TEXT('Data Sheet'!J16,"YYYY"),"FY2025")</f>
        <v>FY2025</v>
      </c>
      <c r="G25" s="43" t="str">
        <f>IFERROR("FY"&amp;TEXT('Data Sheet'!K16,"YYYY"),"FY2026")</f>
        <v>FY2026</v>
      </c>
    </row>
    <row r="26" spans="2:9" ht="18" customHeight="1" x14ac:dyDescent="0.2">
      <c r="B26" s="24" t="s">
        <v>177</v>
      </c>
      <c r="C26" s="45">
        <f>IFERROR('Data Sheet'!G57,0)</f>
        <v>543</v>
      </c>
      <c r="D26" s="45">
        <f>IFERROR('Data Sheet'!H57,0)</f>
        <v>543</v>
      </c>
      <c r="E26" s="45">
        <f>IFERROR('Data Sheet'!I57,0)</f>
        <v>543</v>
      </c>
      <c r="F26" s="45">
        <f>IFERROR('Data Sheet'!J57,0)</f>
        <v>543</v>
      </c>
      <c r="G26" s="45">
        <f>IFERROR('Data Sheet'!K57,0)</f>
        <v>543</v>
      </c>
      <c r="I26" s="56" t="s">
        <v>178</v>
      </c>
    </row>
    <row r="27" spans="2:9" ht="18" customHeight="1" x14ac:dyDescent="0.2">
      <c r="B27" s="24" t="s">
        <v>33</v>
      </c>
      <c r="C27" s="45">
        <f>IFERROR('Data Sheet'!G58,0)</f>
        <v>61371</v>
      </c>
      <c r="D27" s="45">
        <f>IFERROR('Data Sheet'!H58,0)</f>
        <v>64862</v>
      </c>
      <c r="E27" s="45">
        <f>IFERROR('Data Sheet'!I58,0)</f>
        <v>67720</v>
      </c>
      <c r="F27" s="45">
        <f>IFERROR('Data Sheet'!J58,0)</f>
        <v>69112</v>
      </c>
      <c r="G27" s="45">
        <f>IFERROR('Data Sheet'!K58,0)</f>
        <v>74622</v>
      </c>
      <c r="I27" s="56" t="s">
        <v>179</v>
      </c>
    </row>
    <row r="28" spans="2:9" ht="18" customHeight="1" x14ac:dyDescent="0.2">
      <c r="B28" s="24" t="s">
        <v>180</v>
      </c>
      <c r="C28" s="47">
        <f>IFERROR(C26+C27,0)</f>
        <v>61914</v>
      </c>
      <c r="D28" s="47">
        <f>IFERROR(D26+D27,0)</f>
        <v>65405</v>
      </c>
      <c r="E28" s="47">
        <f>IFERROR(E26+E27,0)</f>
        <v>68263</v>
      </c>
      <c r="F28" s="47">
        <f>IFERROR(F26+F27,0)</f>
        <v>69655</v>
      </c>
      <c r="G28" s="47">
        <f>IFERROR(G26+G27,0)</f>
        <v>75165</v>
      </c>
      <c r="I28" s="49"/>
    </row>
    <row r="29" spans="2:9" ht="18" customHeight="1" x14ac:dyDescent="0.2">
      <c r="B29" s="24" t="s">
        <v>181</v>
      </c>
      <c r="C29" s="45">
        <f>IFERROR('Data Sheet'!G59,0)</f>
        <v>6343</v>
      </c>
      <c r="D29" s="45">
        <f>IFERROR('Data Sheet'!H59,0)</f>
        <v>4794</v>
      </c>
      <c r="E29" s="45">
        <f>IFERROR('Data Sheet'!I59,0)</f>
        <v>5758</v>
      </c>
      <c r="F29" s="45">
        <f>IFERROR('Data Sheet'!J59,0)</f>
        <v>6276</v>
      </c>
      <c r="G29" s="45">
        <f>IFERROR('Data Sheet'!K59,0)</f>
        <v>5215</v>
      </c>
      <c r="I29" s="56" t="s">
        <v>182</v>
      </c>
    </row>
    <row r="30" spans="2:9" ht="18" customHeight="1" x14ac:dyDescent="0.2">
      <c r="B30" s="24" t="s">
        <v>183</v>
      </c>
      <c r="C30" s="57">
        <v>3923</v>
      </c>
      <c r="D30" s="57">
        <v>2111</v>
      </c>
      <c r="E30" s="57">
        <v>2223</v>
      </c>
      <c r="F30" s="58">
        <v>70</v>
      </c>
      <c r="G30" s="58">
        <v>37</v>
      </c>
      <c r="I30" s="56" t="s">
        <v>184</v>
      </c>
    </row>
    <row r="31" spans="2:9" ht="18" customHeight="1" x14ac:dyDescent="0.2">
      <c r="B31" s="24" t="s">
        <v>185</v>
      </c>
      <c r="C31" s="58">
        <v>62</v>
      </c>
      <c r="D31" s="58">
        <v>140</v>
      </c>
      <c r="E31" s="58">
        <v>104</v>
      </c>
      <c r="F31" s="57">
        <v>2221</v>
      </c>
      <c r="G31" s="58">
        <v>122</v>
      </c>
      <c r="I31" s="56" t="s">
        <v>186</v>
      </c>
    </row>
    <row r="32" spans="2:9" ht="18" customHeight="1" x14ac:dyDescent="0.2">
      <c r="B32" s="24" t="s">
        <v>187</v>
      </c>
      <c r="C32" s="57">
        <v>2358</v>
      </c>
      <c r="D32" s="57">
        <v>2535</v>
      </c>
      <c r="E32" s="57">
        <v>3429</v>
      </c>
      <c r="F32" s="57">
        <v>3985</v>
      </c>
      <c r="G32" s="57">
        <v>5056</v>
      </c>
      <c r="I32" s="56" t="s">
        <v>188</v>
      </c>
    </row>
    <row r="33" spans="2:9" ht="18" customHeight="1" x14ac:dyDescent="0.2">
      <c r="B33" s="24" t="s">
        <v>189</v>
      </c>
      <c r="C33" s="58">
        <v>92</v>
      </c>
      <c r="D33" s="58">
        <v>-7</v>
      </c>
      <c r="E33" s="58">
        <v>8</v>
      </c>
      <c r="F33" s="58">
        <v>18</v>
      </c>
      <c r="G33" s="58">
        <v>32</v>
      </c>
      <c r="I33" s="56" t="s">
        <v>190</v>
      </c>
    </row>
    <row r="34" spans="2:9" ht="18" customHeight="1" x14ac:dyDescent="0.2">
      <c r="B34" s="24" t="s">
        <v>191</v>
      </c>
      <c r="C34" s="57">
        <v>6278</v>
      </c>
      <c r="D34" s="57">
        <v>6428</v>
      </c>
      <c r="E34" s="57">
        <v>5853</v>
      </c>
      <c r="F34" s="57">
        <v>6225</v>
      </c>
      <c r="G34" s="57">
        <v>7706</v>
      </c>
      <c r="I34" s="56" t="s">
        <v>192</v>
      </c>
    </row>
    <row r="35" spans="2:9" ht="18" customHeight="1" x14ac:dyDescent="0.2">
      <c r="B35" s="24" t="s">
        <v>193</v>
      </c>
      <c r="C35" s="58">
        <v>222</v>
      </c>
      <c r="D35" s="58">
        <v>252</v>
      </c>
      <c r="E35" s="58">
        <v>158</v>
      </c>
      <c r="F35" s="58">
        <v>204</v>
      </c>
      <c r="G35" s="58"/>
      <c r="I35" s="56" t="s">
        <v>194</v>
      </c>
    </row>
    <row r="36" spans="2:9" ht="18" customHeight="1" x14ac:dyDescent="0.2">
      <c r="B36" s="24" t="s">
        <v>195</v>
      </c>
      <c r="C36" s="57">
        <v>14072</v>
      </c>
      <c r="D36" s="57">
        <v>16378</v>
      </c>
      <c r="E36" s="57">
        <v>18966</v>
      </c>
      <c r="F36" s="57">
        <v>22102</v>
      </c>
      <c r="G36" s="57">
        <v>28140</v>
      </c>
      <c r="I36" s="56" t="s">
        <v>196</v>
      </c>
    </row>
    <row r="37" spans="2:9" ht="18" customHeight="1" x14ac:dyDescent="0.2">
      <c r="B37" s="24" t="s">
        <v>197</v>
      </c>
      <c r="C37" s="59">
        <f>SUM(C28:C29,C33:C36)</f>
        <v>88921</v>
      </c>
      <c r="D37" s="59">
        <f>SUM(D28:D29,D33:D36)</f>
        <v>93250</v>
      </c>
      <c r="E37" s="59">
        <f>SUM(E28:E29,E33:E36)</f>
        <v>99006</v>
      </c>
      <c r="F37" s="59">
        <f>SUM(F28:F29,F33:F36)</f>
        <v>104480</v>
      </c>
      <c r="G37" s="59">
        <f>SUM(G28:G29,G33:G36)</f>
        <v>116258</v>
      </c>
      <c r="I37" s="49" t="s">
        <v>198</v>
      </c>
    </row>
    <row r="38" spans="2:9" ht="18" customHeight="1" x14ac:dyDescent="0.2">
      <c r="B38" s="60" t="s">
        <v>199</v>
      </c>
    </row>
    <row r="39" spans="2:9" ht="19.5" customHeight="1" x14ac:dyDescent="0.2">
      <c r="B39" s="216" t="s">
        <v>149</v>
      </c>
      <c r="C39" s="216"/>
      <c r="D39" s="216"/>
      <c r="E39" s="216"/>
      <c r="F39" s="216"/>
      <c r="G39" s="216"/>
      <c r="H39" s="216"/>
    </row>
    <row r="40" spans="2:9" ht="18" customHeight="1" x14ac:dyDescent="0.2">
      <c r="B40" s="24" t="s">
        <v>200</v>
      </c>
      <c r="C40" s="61">
        <f>IFERROR('Data Sheet'!G62,0)</f>
        <v>35077</v>
      </c>
      <c r="D40" s="61">
        <f>IFERROR('Data Sheet'!H62,0)</f>
        <v>34619</v>
      </c>
      <c r="E40" s="61">
        <f>IFERROR('Data Sheet'!I62,0)</f>
        <v>35063</v>
      </c>
      <c r="F40" s="61">
        <f>IFERROR('Data Sheet'!J62,0)</f>
        <v>36172</v>
      </c>
      <c r="G40" s="61">
        <f>IFERROR('Data Sheet'!K62,0)</f>
        <v>37379</v>
      </c>
      <c r="I40" s="56" t="s">
        <v>201</v>
      </c>
    </row>
    <row r="41" spans="2:9" ht="18" customHeight="1" x14ac:dyDescent="0.2">
      <c r="B41" s="24" t="s">
        <v>202</v>
      </c>
      <c r="C41" s="61">
        <f>IFERROR('Data Sheet'!G63,0)</f>
        <v>129</v>
      </c>
      <c r="D41" s="61">
        <f>IFERROR('Data Sheet'!H63,0)</f>
        <v>40</v>
      </c>
      <c r="E41" s="61">
        <f>IFERROR('Data Sheet'!I63,0)</f>
        <v>108</v>
      </c>
      <c r="F41" s="61">
        <f>IFERROR('Data Sheet'!J63,0)</f>
        <v>59</v>
      </c>
      <c r="G41" s="61">
        <f>IFERROR('Data Sheet'!K63,0)</f>
        <v>60</v>
      </c>
      <c r="I41" s="56" t="s">
        <v>203</v>
      </c>
    </row>
    <row r="42" spans="2:9" ht="18" customHeight="1" x14ac:dyDescent="0.2">
      <c r="B42" s="24" t="s">
        <v>39</v>
      </c>
      <c r="C42" s="61">
        <f>IFERROR('Data Sheet'!G64,0)</f>
        <v>6351</v>
      </c>
      <c r="D42" s="61">
        <f>IFERROR('Data Sheet'!H64,0)</f>
        <v>5495</v>
      </c>
      <c r="E42" s="61">
        <f>IFERROR('Data Sheet'!I64,0)</f>
        <v>7137</v>
      </c>
      <c r="F42" s="61">
        <f>IFERROR('Data Sheet'!J64,0)</f>
        <v>7564</v>
      </c>
      <c r="G42" s="61">
        <f>IFERROR('Data Sheet'!K64,0)</f>
        <v>7090</v>
      </c>
      <c r="I42" s="56" t="s">
        <v>204</v>
      </c>
    </row>
    <row r="43" spans="2:9" ht="18" customHeight="1" x14ac:dyDescent="0.2">
      <c r="B43" s="24" t="s">
        <v>205</v>
      </c>
      <c r="C43" s="61">
        <f>IFERROR('Data Sheet'!G68,0)</f>
        <v>161</v>
      </c>
      <c r="D43" s="61">
        <f>IFERROR('Data Sheet'!H68,0)</f>
        <v>228</v>
      </c>
      <c r="E43" s="61">
        <f>IFERROR('Data Sheet'!I68,0)</f>
        <v>185</v>
      </c>
      <c r="F43" s="61">
        <f>IFERROR('Data Sheet'!J68,0)</f>
        <v>133</v>
      </c>
      <c r="G43" s="61">
        <f>IFERROR('Data Sheet'!K68,0)</f>
        <v>239</v>
      </c>
      <c r="I43" s="56" t="s">
        <v>206</v>
      </c>
    </row>
    <row r="44" spans="2:9" ht="18" customHeight="1" x14ac:dyDescent="0.2">
      <c r="B44" s="24" t="s">
        <v>207</v>
      </c>
      <c r="C44" s="61">
        <f>IFERROR('Data Sheet'!G67,0)</f>
        <v>20671</v>
      </c>
      <c r="D44" s="61">
        <f>IFERROR('Data Sheet'!H67,0)</f>
        <v>25506</v>
      </c>
      <c r="E44" s="61">
        <f>IFERROR('Data Sheet'!I67,0)</f>
        <v>25521</v>
      </c>
      <c r="F44" s="61">
        <f>IFERROR('Data Sheet'!J67,0)</f>
        <v>25842</v>
      </c>
      <c r="G44" s="61">
        <f>IFERROR('Data Sheet'!K67,0)</f>
        <v>23585</v>
      </c>
      <c r="I44" s="56" t="s">
        <v>208</v>
      </c>
    </row>
    <row r="45" spans="2:9" ht="18" customHeight="1" x14ac:dyDescent="0.2">
      <c r="B45" s="24" t="s">
        <v>209</v>
      </c>
      <c r="C45" s="61">
        <f>IFERROR('Data Sheet'!G69,0)</f>
        <v>12636</v>
      </c>
      <c r="D45" s="61">
        <f>IFERROR('Data Sheet'!H69,0)</f>
        <v>14724</v>
      </c>
      <c r="E45" s="61">
        <f>IFERROR('Data Sheet'!I69,0)</f>
        <v>20150</v>
      </c>
      <c r="F45" s="61">
        <f>IFERROR('Data Sheet'!J69,0)</f>
        <v>21289</v>
      </c>
      <c r="G45" s="61">
        <f>IFERROR('Data Sheet'!K69,0)</f>
        <v>23425</v>
      </c>
      <c r="I45" s="56" t="s">
        <v>210</v>
      </c>
    </row>
    <row r="46" spans="2:9" ht="18" customHeight="1" x14ac:dyDescent="0.2">
      <c r="B46" s="24" t="s">
        <v>211</v>
      </c>
      <c r="C46" s="57">
        <v>1819</v>
      </c>
      <c r="D46" s="57">
        <v>1967</v>
      </c>
      <c r="E46" s="57">
        <v>2114</v>
      </c>
      <c r="F46" s="57">
        <v>2753</v>
      </c>
      <c r="G46" s="57">
        <v>5253</v>
      </c>
      <c r="I46" s="56" t="s">
        <v>212</v>
      </c>
    </row>
    <row r="47" spans="2:9" ht="18" customHeight="1" x14ac:dyDescent="0.2">
      <c r="B47" s="24" t="s">
        <v>213</v>
      </c>
      <c r="C47" s="57">
        <v>12077</v>
      </c>
      <c r="D47" s="57">
        <v>10671</v>
      </c>
      <c r="E47" s="57">
        <v>8728</v>
      </c>
      <c r="F47" s="57">
        <v>10668</v>
      </c>
      <c r="G47" s="57">
        <v>19227</v>
      </c>
      <c r="I47" s="56" t="s">
        <v>214</v>
      </c>
    </row>
    <row r="48" spans="2:9" ht="18" customHeight="1" x14ac:dyDescent="0.2">
      <c r="B48" s="24" t="s">
        <v>215</v>
      </c>
      <c r="C48" s="59">
        <f>IFERROR(C40+C41+C42+C43+C44+C45+C46+C47,0)</f>
        <v>88921</v>
      </c>
      <c r="D48" s="59">
        <f>IFERROR(D40+D41+D42+D43+D44+D45+D46+D47,0)</f>
        <v>93250</v>
      </c>
      <c r="E48" s="59">
        <f>IFERROR(E40+E41+E42+E43+E44+E45+E46+E47,0)</f>
        <v>99006</v>
      </c>
      <c r="F48" s="59">
        <f>IFERROR(F40+F41+F42+F43+F44+F45+F46+F47,0)</f>
        <v>104480</v>
      </c>
      <c r="G48" s="59">
        <f>IFERROR(G40+G41+G42+G43+G44+G45+G46+G47,0)</f>
        <v>116258</v>
      </c>
      <c r="I48" s="49"/>
    </row>
    <row r="49" spans="2:9" ht="18" customHeight="1" x14ac:dyDescent="0.2"/>
    <row r="50" spans="2:9" ht="21.75" customHeight="1" x14ac:dyDescent="0.2">
      <c r="B50" s="62" t="s">
        <v>216</v>
      </c>
      <c r="C50" s="63">
        <f>C48-C37</f>
        <v>0</v>
      </c>
      <c r="D50" s="63">
        <f>D48-D37</f>
        <v>0</v>
      </c>
      <c r="E50" s="63">
        <f>E48-E37</f>
        <v>0</v>
      </c>
      <c r="F50" s="63">
        <f>F48-F37</f>
        <v>0</v>
      </c>
      <c r="G50" s="63">
        <f>G48-G37</f>
        <v>0</v>
      </c>
      <c r="I50" s="49" t="s">
        <v>217</v>
      </c>
    </row>
    <row r="51" spans="2:9" ht="18" customHeight="1" x14ac:dyDescent="0.2"/>
    <row r="52" spans="2:9" ht="21.75" customHeight="1" x14ac:dyDescent="0.2">
      <c r="B52" s="12" t="s">
        <v>218</v>
      </c>
      <c r="C52" s="12"/>
      <c r="D52" s="12"/>
      <c r="E52" s="12"/>
      <c r="F52" s="12"/>
      <c r="G52" s="12"/>
      <c r="H52" s="12"/>
      <c r="I52" s="12"/>
    </row>
    <row r="53" spans="2:9" ht="19.5" customHeight="1" x14ac:dyDescent="0.2">
      <c r="B53" s="42" t="s">
        <v>149</v>
      </c>
      <c r="C53" s="64" t="str">
        <f>IFERROR("FY"&amp;TEXT('Data Sheet'!G16,"YYYY"),"FY2022")</f>
        <v>FY2022</v>
      </c>
      <c r="D53" s="64" t="str">
        <f>IFERROR("FY"&amp;TEXT('Data Sheet'!H16,"YYYY"),"FY2023")</f>
        <v>FY2023</v>
      </c>
      <c r="E53" s="64" t="str">
        <f>IFERROR("FY"&amp;TEXT('Data Sheet'!I16,"YYYY"),"FY2024")</f>
        <v>FY2024</v>
      </c>
      <c r="F53" s="64" t="str">
        <f>IFERROR("FY"&amp;TEXT('Data Sheet'!J16,"YYYY"),"FY2025")</f>
        <v>FY2025</v>
      </c>
      <c r="G53" s="64" t="str">
        <f>IFERROR("FY"&amp;TEXT('Data Sheet'!K16,"YYYY"),"FY2026")</f>
        <v>FY2026</v>
      </c>
    </row>
    <row r="54" spans="2:9" ht="18" customHeight="1" x14ac:dyDescent="0.2">
      <c r="B54" s="24" t="s">
        <v>48</v>
      </c>
      <c r="C54" s="52">
        <f>IFERROR('Data Sheet'!G82,0)</f>
        <v>16900</v>
      </c>
      <c r="D54" s="52">
        <f>IFERROR('Data Sheet'!H82,0)</f>
        <v>18009</v>
      </c>
      <c r="E54" s="52">
        <f>IFERROR('Data Sheet'!I82,0)</f>
        <v>22448</v>
      </c>
      <c r="F54" s="52">
        <f>IFERROR('Data Sheet'!J82,0)</f>
        <v>22261</v>
      </c>
      <c r="G54" s="52">
        <f>IFERROR('Data Sheet'!K82,0)</f>
        <v>19975</v>
      </c>
      <c r="I54" s="56" t="s">
        <v>219</v>
      </c>
    </row>
    <row r="55" spans="2:9" ht="18" customHeight="1" x14ac:dyDescent="0.2">
      <c r="B55" s="24" t="s">
        <v>220</v>
      </c>
      <c r="C55" s="53">
        <v>-549</v>
      </c>
      <c r="D55" s="65">
        <v>-1305</v>
      </c>
      <c r="E55" s="65">
        <v>2305</v>
      </c>
      <c r="F55" s="65">
        <v>1010</v>
      </c>
      <c r="G55" s="65">
        <v>-1522</v>
      </c>
      <c r="I55" s="56" t="s">
        <v>221</v>
      </c>
    </row>
    <row r="56" spans="2:9" ht="18" customHeight="1" x14ac:dyDescent="0.2">
      <c r="B56" s="24" t="s">
        <v>49</v>
      </c>
      <c r="C56" s="52">
        <f>IFERROR('Data Sheet'!G83,0)</f>
        <v>1597</v>
      </c>
      <c r="D56" s="52">
        <f>IFERROR('Data Sheet'!H83,0)</f>
        <v>-3573</v>
      </c>
      <c r="E56" s="52">
        <f>IFERROR('Data Sheet'!I83,0)</f>
        <v>-6608</v>
      </c>
      <c r="F56" s="52">
        <f>IFERROR('Data Sheet'!J83,0)</f>
        <v>-4896</v>
      </c>
      <c r="G56" s="52">
        <f>IFERROR('Data Sheet'!K83,0)</f>
        <v>-1473</v>
      </c>
      <c r="I56" s="56" t="s">
        <v>222</v>
      </c>
    </row>
    <row r="57" spans="2:9" ht="18" customHeight="1" x14ac:dyDescent="0.2">
      <c r="B57" s="24" t="s">
        <v>223</v>
      </c>
      <c r="C57" s="66">
        <v>-1645</v>
      </c>
      <c r="D57" s="66">
        <v>-1661</v>
      </c>
      <c r="E57" s="66">
        <v>-1048</v>
      </c>
      <c r="F57" s="66">
        <v>-1108</v>
      </c>
      <c r="G57" s="66">
        <v>-1422</v>
      </c>
      <c r="I57" s="56" t="s">
        <v>224</v>
      </c>
    </row>
    <row r="58" spans="2:9" ht="18" customHeight="1" x14ac:dyDescent="0.2">
      <c r="B58" s="24" t="s">
        <v>225</v>
      </c>
      <c r="C58" s="66">
        <v>15345</v>
      </c>
      <c r="D58" s="66">
        <v>16565</v>
      </c>
      <c r="E58" s="66">
        <v>21432</v>
      </c>
      <c r="F58" s="66">
        <v>21178</v>
      </c>
      <c r="G58" s="66">
        <v>18576</v>
      </c>
      <c r="I58" s="49" t="s">
        <v>226</v>
      </c>
    </row>
    <row r="59" spans="2:9" ht="18" customHeight="1" x14ac:dyDescent="0.2"/>
    <row r="60" spans="2:9" ht="21.75" customHeight="1" x14ac:dyDescent="0.2">
      <c r="B60" s="12" t="s">
        <v>227</v>
      </c>
      <c r="C60" s="12"/>
      <c r="D60" s="12"/>
      <c r="E60" s="12"/>
      <c r="F60" s="12"/>
      <c r="G60" s="12"/>
      <c r="H60" s="12"/>
      <c r="I60" s="12"/>
    </row>
    <row r="61" spans="2:9" ht="19.5" customHeight="1" x14ac:dyDescent="0.2">
      <c r="B61" s="42" t="s">
        <v>149</v>
      </c>
      <c r="C61" s="43" t="str">
        <f>IFERROR("FY"&amp;TEXT('Data Sheet'!G16,"YYYY"),"FY2022")</f>
        <v>FY2022</v>
      </c>
      <c r="D61" s="43" t="str">
        <f>IFERROR("FY"&amp;TEXT('Data Sheet'!H16,"YYYY"),"FY2023")</f>
        <v>FY2023</v>
      </c>
      <c r="E61" s="43" t="str">
        <f>IFERROR("FY"&amp;TEXT('Data Sheet'!I16,"YYYY"),"FY2024")</f>
        <v>FY2024</v>
      </c>
      <c r="F61" s="43" t="str">
        <f>IFERROR("FY"&amp;TEXT('Data Sheet'!J16,"YYYY"),"FY2025")</f>
        <v>FY2025</v>
      </c>
      <c r="G61" s="43" t="str">
        <f>IFERROR("FY"&amp;TEXT('Data Sheet'!K16,"YYYY"),"FY2026")</f>
        <v>FY2026</v>
      </c>
    </row>
    <row r="62" spans="2:9" ht="18" customHeight="1" x14ac:dyDescent="0.2">
      <c r="B62" s="24" t="s">
        <v>228</v>
      </c>
      <c r="C62" s="67">
        <f>C29</f>
        <v>6343</v>
      </c>
      <c r="D62" s="67">
        <f>D29</f>
        <v>4794</v>
      </c>
      <c r="E62" s="67">
        <f>E29</f>
        <v>5758</v>
      </c>
      <c r="F62" s="67">
        <f>F29</f>
        <v>6276</v>
      </c>
      <c r="G62" s="67">
        <f>G29</f>
        <v>5215</v>
      </c>
      <c r="I62" s="49" t="s">
        <v>229</v>
      </c>
    </row>
    <row r="63" spans="2:9" ht="18" customHeight="1" x14ac:dyDescent="0.2">
      <c r="B63" s="24" t="s">
        <v>230</v>
      </c>
      <c r="C63" s="67">
        <f>C45</f>
        <v>12636</v>
      </c>
      <c r="D63" s="67">
        <f>D45</f>
        <v>14724</v>
      </c>
      <c r="E63" s="67">
        <f>E45</f>
        <v>20150</v>
      </c>
      <c r="F63" s="67">
        <f>F45</f>
        <v>21289</v>
      </c>
      <c r="G63" s="67">
        <f>G45</f>
        <v>23425</v>
      </c>
      <c r="I63" s="49" t="s">
        <v>229</v>
      </c>
    </row>
    <row r="64" spans="2:9" ht="18" customHeight="1" x14ac:dyDescent="0.2">
      <c r="B64" s="24" t="s">
        <v>39</v>
      </c>
      <c r="C64" s="67">
        <f>C42</f>
        <v>6351</v>
      </c>
      <c r="D64" s="67">
        <f>D42</f>
        <v>5495</v>
      </c>
      <c r="E64" s="67">
        <f>E42</f>
        <v>7137</v>
      </c>
      <c r="F64" s="67">
        <f>F42</f>
        <v>7564</v>
      </c>
      <c r="G64" s="67">
        <f>G42</f>
        <v>7090</v>
      </c>
      <c r="I64" s="49" t="s">
        <v>229</v>
      </c>
    </row>
    <row r="65" spans="2:9" ht="18" customHeight="1" x14ac:dyDescent="0.2">
      <c r="B65" s="68" t="s">
        <v>231</v>
      </c>
      <c r="C65" s="67">
        <f>IFERROR(C62-C63-C42,0)</f>
        <v>-12644</v>
      </c>
      <c r="D65" s="67">
        <f>IFERROR(D62-D63-D42,0)</f>
        <v>-15425</v>
      </c>
      <c r="E65" s="67">
        <f>IFERROR(E62-E63-E42,0)</f>
        <v>-21529</v>
      </c>
      <c r="F65" s="67">
        <f>IFERROR(F62-F63-F42,0)</f>
        <v>-22577</v>
      </c>
      <c r="G65" s="67">
        <f>IFERROR(G62-G63-G42,0)</f>
        <v>-25300</v>
      </c>
      <c r="I65" s="49" t="s">
        <v>232</v>
      </c>
    </row>
    <row r="66" spans="2:9" ht="18" customHeight="1" x14ac:dyDescent="0.2">
      <c r="B66" s="24" t="s">
        <v>189</v>
      </c>
      <c r="C66" s="67">
        <f>C33</f>
        <v>92</v>
      </c>
      <c r="D66" s="67">
        <f>D33</f>
        <v>-7</v>
      </c>
      <c r="E66" s="67">
        <f>E33</f>
        <v>8</v>
      </c>
      <c r="F66" s="67">
        <f>F33</f>
        <v>18</v>
      </c>
      <c r="G66" s="67">
        <f>G33</f>
        <v>32</v>
      </c>
      <c r="I66" s="49" t="s">
        <v>229</v>
      </c>
    </row>
    <row r="67" spans="2:9" ht="18" customHeight="1" x14ac:dyDescent="0.2">
      <c r="B67" s="24" t="s">
        <v>233</v>
      </c>
      <c r="C67" s="67">
        <f>C44+C43-C34-C35</f>
        <v>14332</v>
      </c>
      <c r="D67" s="67">
        <f>D44+D43-D34-D35</f>
        <v>19054</v>
      </c>
      <c r="E67" s="67">
        <f>E44+E43-E34-E35</f>
        <v>19695</v>
      </c>
      <c r="F67" s="67">
        <f>F44+F43-F34-F35</f>
        <v>19546</v>
      </c>
      <c r="G67" s="67">
        <f>G44+G43-G34-G35</f>
        <v>16118</v>
      </c>
      <c r="I67" s="41" t="s">
        <v>234</v>
      </c>
    </row>
    <row r="68" spans="2:9" ht="30" customHeight="1" x14ac:dyDescent="0.2">
      <c r="B68" s="69" t="s">
        <v>235</v>
      </c>
      <c r="C68" s="70">
        <v>282000</v>
      </c>
      <c r="D68" s="70">
        <v>397300</v>
      </c>
      <c r="E68" s="70">
        <v>514800</v>
      </c>
      <c r="F68" s="70">
        <v>449600</v>
      </c>
      <c r="G68" s="70">
        <v>315200</v>
      </c>
      <c r="I68" s="56" t="s">
        <v>236</v>
      </c>
    </row>
    <row r="69" spans="2:9" ht="27.75" customHeight="1" x14ac:dyDescent="0.2">
      <c r="B69" s="69" t="s">
        <v>237</v>
      </c>
      <c r="C69" s="71">
        <v>271.37</v>
      </c>
      <c r="D69" s="71">
        <v>271.37</v>
      </c>
      <c r="E69" s="71">
        <v>271.37</v>
      </c>
      <c r="F69" s="71">
        <v>271.37</v>
      </c>
      <c r="G69" s="71">
        <v>271.37</v>
      </c>
      <c r="I69" s="56" t="s">
        <v>238</v>
      </c>
    </row>
    <row r="70" spans="2:9" ht="18" customHeight="1" x14ac:dyDescent="0.2">
      <c r="B70" s="24" t="s">
        <v>239</v>
      </c>
      <c r="C70" s="67">
        <f>C62</f>
        <v>6343</v>
      </c>
      <c r="D70" s="67">
        <f>IFERROR((D62+C62)/2,0)</f>
        <v>5568.5</v>
      </c>
      <c r="E70" s="67">
        <f>IFERROR((E62+D62)/2,0)</f>
        <v>5276</v>
      </c>
      <c r="F70" s="67">
        <f>IFERROR((F62+E62)/2,0)</f>
        <v>6017</v>
      </c>
      <c r="G70" s="67">
        <f>IFERROR((G62+F62)/2,0)</f>
        <v>5745.5</v>
      </c>
      <c r="I70" s="49"/>
    </row>
    <row r="71" spans="2:9" ht="18" customHeight="1" x14ac:dyDescent="0.2">
      <c r="B71" s="24" t="s">
        <v>240</v>
      </c>
      <c r="C71" s="67">
        <f>C8</f>
        <v>319</v>
      </c>
      <c r="D71" s="67">
        <f>D8</f>
        <v>353</v>
      </c>
      <c r="E71" s="67">
        <f>E8</f>
        <v>553</v>
      </c>
      <c r="F71" s="67">
        <f>F8</f>
        <v>644</v>
      </c>
      <c r="G71" s="67">
        <f>G8</f>
        <v>869</v>
      </c>
      <c r="I71" s="49" t="s">
        <v>229</v>
      </c>
    </row>
    <row r="72" spans="2:9" ht="18" customHeight="1" x14ac:dyDescent="0.2">
      <c r="B72" s="24" t="s">
        <v>241</v>
      </c>
      <c r="C72" s="48">
        <f>C71/C70</f>
        <v>5.029166009774555E-2</v>
      </c>
      <c r="D72" s="48">
        <f>D71/D70</f>
        <v>6.3392295950435482E-2</v>
      </c>
      <c r="E72" s="48">
        <f>E71/E70</f>
        <v>0.10481425322213798</v>
      </c>
      <c r="F72" s="48">
        <f>F71/F70</f>
        <v>0.10703008143593153</v>
      </c>
      <c r="G72" s="48">
        <f>G71/G70</f>
        <v>0.15124880341136543</v>
      </c>
      <c r="I72" s="49"/>
    </row>
    <row r="73" spans="2:9" ht="18" customHeight="1" x14ac:dyDescent="0.2">
      <c r="B73" s="24" t="s">
        <v>242</v>
      </c>
      <c r="C73" s="67">
        <f>IFERROR(ABS(C57),0)</f>
        <v>1645</v>
      </c>
      <c r="D73" s="67">
        <f>IFERROR(ABS(D57),0)</f>
        <v>1661</v>
      </c>
      <c r="E73" s="67">
        <f>IFERROR(ABS(E57),0)</f>
        <v>1048</v>
      </c>
      <c r="F73" s="67">
        <f>IFERROR(ABS(F57),0)</f>
        <v>1108</v>
      </c>
      <c r="G73" s="67">
        <f>IFERROR(ABS(G57),0)</f>
        <v>1422</v>
      </c>
      <c r="I73" s="49"/>
    </row>
    <row r="74" spans="2:9" ht="18" customHeight="1" x14ac:dyDescent="0.2">
      <c r="B74" s="24" t="s">
        <v>243</v>
      </c>
      <c r="C74" s="67">
        <f>C58</f>
        <v>15345</v>
      </c>
      <c r="D74" s="67">
        <f>D58</f>
        <v>16565</v>
      </c>
      <c r="E74" s="67">
        <f>E58</f>
        <v>21432</v>
      </c>
      <c r="F74" s="67">
        <f>F58</f>
        <v>21178</v>
      </c>
      <c r="G74" s="67">
        <f>G58</f>
        <v>18576</v>
      </c>
      <c r="I74" s="49" t="s">
        <v>244</v>
      </c>
    </row>
    <row r="75" spans="2:9" ht="18" customHeight="1" x14ac:dyDescent="0.2"/>
    <row r="76" spans="2:9" ht="19.5" customHeight="1" x14ac:dyDescent="0.2">
      <c r="B76" s="214" t="s">
        <v>149</v>
      </c>
      <c r="C76" s="214"/>
      <c r="D76" s="214"/>
      <c r="E76" s="214"/>
      <c r="F76" s="214"/>
      <c r="G76" s="214"/>
      <c r="H76" s="214"/>
      <c r="I76" s="214"/>
    </row>
    <row r="77" spans="2:9" ht="18" customHeight="1" x14ac:dyDescent="0.2">
      <c r="B77" s="24" t="s">
        <v>75</v>
      </c>
      <c r="C77" s="72">
        <f>IFERROR(C6/C5,0)</f>
        <v>0.23968196518429441</v>
      </c>
      <c r="D77" s="72">
        <f>IFERROR(D6/D5,0)</f>
        <v>0.22303264469326606</v>
      </c>
      <c r="E77" s="72">
        <f>IFERROR(E6/E5,0)</f>
        <v>0.22015594151738194</v>
      </c>
      <c r="F77" s="72">
        <f>IFERROR(F6/F5,0)</f>
        <v>0.21788048353338174</v>
      </c>
      <c r="G77" s="72">
        <f>IFERROR(G6/G5,0)</f>
        <v>0.20555692156380626</v>
      </c>
      <c r="I77" s="49" t="s">
        <v>245</v>
      </c>
    </row>
    <row r="78" spans="2:9" ht="18" customHeight="1" x14ac:dyDescent="0.2">
      <c r="B78" s="24" t="s">
        <v>77</v>
      </c>
      <c r="C78" s="72">
        <f>IFERROR(C9/C5,0)</f>
        <v>5.0507291216681648E-2</v>
      </c>
      <c r="D78" s="72">
        <f>IFERROR(D9/D5,0)</f>
        <v>4.0855149030121433E-2</v>
      </c>
      <c r="E78" s="72">
        <f>IFERROR(E9/E5,0)</f>
        <v>3.796639160062959E-2</v>
      </c>
      <c r="F78" s="72">
        <f>IFERROR(F9/F5,0)</f>
        <v>3.4889581820511724E-2</v>
      </c>
      <c r="G78" s="72">
        <f>IFERROR(G9/G5,0)</f>
        <v>3.3462933366117532E-2</v>
      </c>
      <c r="I78" s="54" t="s">
        <v>246</v>
      </c>
    </row>
    <row r="79" spans="2:9" ht="18" customHeight="1" x14ac:dyDescent="0.2">
      <c r="B79" s="24" t="s">
        <v>247</v>
      </c>
      <c r="C79" s="72">
        <f>IFERROR(ABS(C57)/C5,0)</f>
        <v>1.9205846983689625E-2</v>
      </c>
      <c r="D79" s="72">
        <f>IFERROR(ABS(D57)/D5,0)</f>
        <v>1.6371629080586658E-2</v>
      </c>
      <c r="E79" s="72">
        <f>IFERROR(ABS(E57)/E5,0)</f>
        <v>9.5348138982649915E-3</v>
      </c>
      <c r="F79" s="72">
        <f>IFERROR(ABS(F57)/F5,0)</f>
        <v>9.4656358122250216E-3</v>
      </c>
      <c r="G79" s="72">
        <f>IFERROR(ABS(G57)/G5,0)</f>
        <v>1.0926358495205311E-2</v>
      </c>
      <c r="I79" s="49" t="s">
        <v>248</v>
      </c>
    </row>
    <row r="80" spans="2:9" ht="18" customHeight="1" x14ac:dyDescent="0.2">
      <c r="B80" s="24" t="s">
        <v>249</v>
      </c>
      <c r="C80" s="72">
        <f>IFERROR(C18/C5,0)</f>
        <v>0.18917467396761276</v>
      </c>
      <c r="D80" s="72">
        <f>IFERROR(D18/D5,0)</f>
        <v>0.18217749566314462</v>
      </c>
      <c r="E80" s="72">
        <f>IFERROR(E18/E5,0)</f>
        <v>0.18218954991675235</v>
      </c>
      <c r="F80" s="72">
        <f>IFERROR(F18/F5,0)</f>
        <v>0.18299090171287002</v>
      </c>
      <c r="G80" s="72">
        <f>IFERROR(G18/G5,0)</f>
        <v>0.1720939881976887</v>
      </c>
      <c r="I80" s="49" t="s">
        <v>250</v>
      </c>
    </row>
    <row r="81" spans="1:19" ht="18" customHeight="1" x14ac:dyDescent="0.2">
      <c r="B81" s="73" t="s">
        <v>251</v>
      </c>
      <c r="C81" s="72">
        <f>C67/C5</f>
        <v>0.16733021213996335</v>
      </c>
      <c r="D81" s="72">
        <f>D67/D5</f>
        <v>0.18780555117489356</v>
      </c>
      <c r="E81" s="72">
        <f>E67/E5</f>
        <v>0.17918717531138265</v>
      </c>
      <c r="F81" s="72">
        <f>F67/F5</f>
        <v>0.16698133356114647</v>
      </c>
      <c r="G81" s="72">
        <f>G67/G5</f>
        <v>0.12384743053848045</v>
      </c>
      <c r="I81" s="74"/>
    </row>
    <row r="82" spans="1:19" ht="18" customHeight="1" x14ac:dyDescent="0.2">
      <c r="A82" s="75"/>
      <c r="B82" s="76" t="s">
        <v>252</v>
      </c>
      <c r="C82" s="77"/>
      <c r="D82" s="78"/>
      <c r="E82" s="78"/>
      <c r="F82" s="78"/>
      <c r="G82" s="78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</row>
    <row r="83" spans="1:19" ht="3.75" customHeight="1" x14ac:dyDescent="0.2">
      <c r="A83" s="75"/>
      <c r="B83" s="33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</row>
    <row r="84" spans="1:19" ht="3.75" customHeight="1" x14ac:dyDescent="0.2">
      <c r="A84" s="75"/>
      <c r="B84" s="79"/>
      <c r="C84" s="79"/>
      <c r="D84" s="79"/>
      <c r="E84" s="79"/>
      <c r="F84" s="79"/>
      <c r="G84" s="79"/>
      <c r="H84" s="75"/>
      <c r="I84" s="33"/>
      <c r="J84" s="75"/>
      <c r="K84" s="75"/>
      <c r="L84" s="75"/>
      <c r="M84" s="75"/>
      <c r="N84" s="75"/>
      <c r="O84" s="75"/>
      <c r="P84" s="75"/>
      <c r="Q84" s="75"/>
      <c r="R84" s="75"/>
      <c r="S84" s="75"/>
    </row>
    <row r="85" spans="1:19" ht="3.75" customHeight="1" x14ac:dyDescent="0.2">
      <c r="A85" s="75"/>
      <c r="B85" s="33"/>
      <c r="C85" s="80"/>
      <c r="D85" s="80"/>
      <c r="E85" s="80"/>
      <c r="F85" s="80"/>
      <c r="G85" s="80"/>
      <c r="H85" s="75"/>
      <c r="I85" s="33"/>
      <c r="J85" s="75"/>
      <c r="K85" s="75"/>
      <c r="L85" s="75"/>
      <c r="M85" s="75"/>
      <c r="N85" s="75"/>
      <c r="O85" s="75"/>
      <c r="P85" s="75"/>
      <c r="Q85" s="75"/>
      <c r="R85" s="75"/>
      <c r="S85" s="75"/>
    </row>
    <row r="86" spans="1:19" ht="3.75" customHeight="1" x14ac:dyDescent="0.2">
      <c r="A86" s="75"/>
      <c r="B86" s="33"/>
      <c r="C86" s="80"/>
      <c r="D86" s="80"/>
      <c r="E86" s="80"/>
      <c r="F86" s="80"/>
      <c r="G86" s="80"/>
      <c r="H86" s="75"/>
      <c r="I86" s="33"/>
      <c r="J86" s="75"/>
      <c r="K86" s="75"/>
      <c r="L86" s="75"/>
      <c r="M86" s="75"/>
      <c r="N86" s="75"/>
      <c r="O86" s="75"/>
      <c r="P86" s="75"/>
      <c r="Q86" s="75"/>
      <c r="R86" s="75"/>
      <c r="S86" s="75"/>
    </row>
    <row r="87" spans="1:19" ht="3.75" customHeight="1" x14ac:dyDescent="0.2">
      <c r="A87" s="75"/>
      <c r="B87" s="33"/>
      <c r="C87" s="81"/>
      <c r="D87" s="81"/>
      <c r="E87" s="81"/>
      <c r="F87" s="81"/>
      <c r="G87" s="81"/>
      <c r="H87" s="75"/>
      <c r="I87" s="33"/>
      <c r="J87" s="75"/>
      <c r="K87" s="75"/>
      <c r="L87" s="75"/>
      <c r="M87" s="75"/>
      <c r="N87" s="75"/>
      <c r="O87" s="75"/>
      <c r="P87" s="75"/>
      <c r="Q87" s="75"/>
      <c r="R87" s="75"/>
      <c r="S87" s="75"/>
    </row>
    <row r="88" spans="1:19" ht="3.75" customHeight="1" x14ac:dyDescent="0.2">
      <c r="A88" s="75"/>
      <c r="B88" s="33"/>
      <c r="C88" s="81"/>
      <c r="D88" s="81"/>
      <c r="E88" s="81"/>
      <c r="F88" s="81"/>
      <c r="G88" s="81"/>
      <c r="H88" s="75"/>
      <c r="I88" s="33"/>
      <c r="J88" s="75"/>
      <c r="K88" s="75"/>
      <c r="L88" s="75"/>
      <c r="M88" s="75"/>
      <c r="N88" s="75"/>
      <c r="O88" s="75"/>
      <c r="P88" s="75"/>
      <c r="Q88" s="75"/>
      <c r="R88" s="75"/>
      <c r="S88" s="75"/>
    </row>
    <row r="91" spans="1:19" ht="15" customHeight="1" x14ac:dyDescent="0.2">
      <c r="E91" s="82"/>
    </row>
  </sheetData>
  <mergeCells count="10">
    <mergeCell ref="B24:H24"/>
    <mergeCell ref="B39:H39"/>
    <mergeCell ref="B52:I52"/>
    <mergeCell ref="B60:I60"/>
    <mergeCell ref="B76:I76"/>
    <mergeCell ref="B1:I1"/>
    <mergeCell ref="B2:H2"/>
    <mergeCell ref="B3:I3"/>
    <mergeCell ref="B17:I17"/>
    <mergeCell ref="B23:I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5"/>
  <sheetViews>
    <sheetView topLeftCell="C5" zoomScaleNormal="100" workbookViewId="0">
      <selection activeCell="L21" sqref="L21"/>
    </sheetView>
  </sheetViews>
  <sheetFormatPr baseColWidth="10" defaultColWidth="8.83203125" defaultRowHeight="15" x14ac:dyDescent="0.2"/>
  <cols>
    <col min="1" max="1" width="3" style="83" customWidth="1"/>
    <col min="2" max="2" width="38" style="83" customWidth="1"/>
    <col min="3" max="3" width="14" style="83" customWidth="1"/>
    <col min="4" max="11" width="11" style="83" customWidth="1"/>
    <col min="12" max="17" width="8.83203125" style="83"/>
    <col min="18" max="18" width="62" style="83" customWidth="1"/>
    <col min="19" max="16384" width="8.83203125" style="83"/>
  </cols>
  <sheetData>
    <row r="1" spans="2:17" ht="19.5" customHeight="1" x14ac:dyDescent="0.2">
      <c r="B1" s="217" t="s">
        <v>253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</row>
    <row r="2" spans="2:17" ht="21.75" customHeight="1" x14ac:dyDescent="0.2">
      <c r="B2" s="218" t="s">
        <v>254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</row>
    <row r="4" spans="2:17" ht="19.5" customHeight="1" x14ac:dyDescent="0.2">
      <c r="B4" s="217" t="s">
        <v>255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</row>
    <row r="5" spans="2:17" ht="18" customHeight="1" x14ac:dyDescent="0.2">
      <c r="B5" s="85" t="s">
        <v>256</v>
      </c>
      <c r="C5" s="85" t="s">
        <v>257</v>
      </c>
      <c r="D5" s="219" t="s">
        <v>258</v>
      </c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</row>
    <row r="6" spans="2:17" ht="21.75" customHeight="1" x14ac:dyDescent="0.2">
      <c r="B6" s="86" t="s">
        <v>60</v>
      </c>
      <c r="C6" s="87" t="s">
        <v>259</v>
      </c>
      <c r="D6" s="220" t="s">
        <v>260</v>
      </c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</row>
    <row r="7" spans="2:17" ht="21.75" customHeight="1" x14ac:dyDescent="0.2">
      <c r="B7" s="86" t="s">
        <v>261</v>
      </c>
      <c r="C7" s="18" t="s">
        <v>262</v>
      </c>
      <c r="D7" s="220" t="s">
        <v>263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</row>
    <row r="8" spans="2:17" ht="36.75" customHeight="1" x14ac:dyDescent="0.2">
      <c r="B8" s="89" t="s">
        <v>264</v>
      </c>
      <c r="C8" s="90" t="s">
        <v>265</v>
      </c>
      <c r="D8" s="220" t="s">
        <v>266</v>
      </c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r="9" spans="2:17" ht="21.75" customHeight="1" x14ac:dyDescent="0.2">
      <c r="B9" s="86" t="s">
        <v>267</v>
      </c>
      <c r="C9" s="87" t="s">
        <v>268</v>
      </c>
      <c r="D9" s="220" t="s">
        <v>268</v>
      </c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2:17" ht="21.75" customHeight="1" x14ac:dyDescent="0.2">
      <c r="B10" s="86" t="s">
        <v>269</v>
      </c>
      <c r="C10" s="87" t="s">
        <v>270</v>
      </c>
      <c r="D10" s="220" t="s">
        <v>271</v>
      </c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</row>
    <row r="11" spans="2:17" ht="21.75" customHeight="1" x14ac:dyDescent="0.2">
      <c r="B11" s="86" t="s">
        <v>272</v>
      </c>
      <c r="C11" s="87"/>
      <c r="D11" s="220" t="s">
        <v>273</v>
      </c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</row>
    <row r="12" spans="2:17" ht="21.75" customHeight="1" x14ac:dyDescent="0.2">
      <c r="B12" s="86" t="s">
        <v>274</v>
      </c>
      <c r="C12" s="87"/>
      <c r="D12" s="220" t="s">
        <v>275</v>
      </c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</row>
    <row r="13" spans="2:17" ht="21.75" customHeight="1" x14ac:dyDescent="0.2">
      <c r="B13" s="86" t="s">
        <v>276</v>
      </c>
      <c r="C13" s="87"/>
      <c r="D13" s="220" t="s">
        <v>277</v>
      </c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</row>
    <row r="14" spans="2:17" ht="21.75" customHeight="1" x14ac:dyDescent="0.2">
      <c r="B14" s="86" t="s">
        <v>278</v>
      </c>
      <c r="C14" s="91">
        <v>5.5E-2</v>
      </c>
      <c r="D14" s="220" t="s">
        <v>279</v>
      </c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</row>
    <row r="15" spans="2:17" ht="27.75" customHeight="1" x14ac:dyDescent="0.2">
      <c r="B15" s="92" t="s">
        <v>280</v>
      </c>
      <c r="C15" s="93">
        <f>AVERAGE('📊 Hist Data'!D11:G11)</f>
        <v>0.24689258344264919</v>
      </c>
      <c r="D15" s="220" t="s">
        <v>281</v>
      </c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</row>
    <row r="16" spans="2:17" ht="21.75" customHeight="1" x14ac:dyDescent="0.2">
      <c r="B16" s="86" t="s">
        <v>63</v>
      </c>
      <c r="C16" s="94">
        <v>46169</v>
      </c>
      <c r="D16" s="220" t="s">
        <v>282</v>
      </c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</row>
    <row r="19" spans="2:18" ht="19.5" customHeight="1" x14ac:dyDescent="0.2">
      <c r="B19" s="221" t="s">
        <v>283</v>
      </c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</row>
    <row r="20" spans="2:18" ht="21.75" customHeight="1" x14ac:dyDescent="0.2">
      <c r="B20" s="95" t="s">
        <v>284</v>
      </c>
      <c r="C20" s="96" t="s">
        <v>285</v>
      </c>
      <c r="D20" s="85" t="s">
        <v>286</v>
      </c>
      <c r="E20" s="85" t="s">
        <v>287</v>
      </c>
      <c r="F20" s="97" t="s">
        <v>288</v>
      </c>
      <c r="G20" s="97" t="s">
        <v>289</v>
      </c>
      <c r="H20" s="97" t="s">
        <v>290</v>
      </c>
      <c r="I20" s="97" t="s">
        <v>291</v>
      </c>
      <c r="J20" s="97" t="s">
        <v>292</v>
      </c>
      <c r="K20" s="97" t="s">
        <v>293</v>
      </c>
      <c r="R20" s="88" t="s">
        <v>294</v>
      </c>
    </row>
    <row r="21" spans="2:18" ht="21.75" customHeight="1" x14ac:dyDescent="0.2">
      <c r="B21" s="86" t="s">
        <v>73</v>
      </c>
      <c r="C21" s="98">
        <f>IFERROR(AVERAGE('📊 Hist Data'!D21:G21),0)</f>
        <v>0.11117053420067591</v>
      </c>
      <c r="D21" s="99">
        <v>7.0499999999999993E-2</v>
      </c>
      <c r="E21" s="99">
        <v>8.2900000000000001E-2</v>
      </c>
      <c r="F21" s="231">
        <v>4.4999999999999998E-2</v>
      </c>
      <c r="G21" s="232">
        <f>IFERROR(F21-(F21-$C$14)/5*(1),0)</f>
        <v>4.7E-2</v>
      </c>
      <c r="H21" s="232">
        <f>IFERROR(G21-(G21-$C$14)/5*(2),0)</f>
        <v>5.0200000000000002E-2</v>
      </c>
      <c r="I21" s="232">
        <f>IFERROR(H21-(H21-$C$14)/5*(3),0)</f>
        <v>5.3080000000000002E-2</v>
      </c>
      <c r="J21" s="232">
        <f>IFERROR(I21-(I21-$C$14)/5*(4),0)</f>
        <v>5.4615999999999998E-2</v>
      </c>
      <c r="K21" s="232">
        <f>IFERROR(J21-(J21-$C$14)/5*(5),0)</f>
        <v>5.5E-2</v>
      </c>
      <c r="R21" s="88" t="s">
        <v>295</v>
      </c>
    </row>
    <row r="22" spans="2:18" ht="21.75" customHeight="1" x14ac:dyDescent="0.2">
      <c r="B22" s="86" t="s">
        <v>75</v>
      </c>
      <c r="C22" s="98">
        <f>IFERROR(AVERAGE('📊 Hist Data'!C77:G77),0)</f>
        <v>0.2212615912984261</v>
      </c>
      <c r="D22" s="99">
        <v>0.21390000000000001</v>
      </c>
      <c r="E22" s="99">
        <v>0.21049999999999999</v>
      </c>
      <c r="F22" s="100">
        <f>IFERROR(E22+(E22-D22)*0.5,0)</f>
        <v>0.20879999999999999</v>
      </c>
      <c r="G22" s="100">
        <f>IFERROR(F22+(E22-D22)/3,0)</f>
        <v>0.20766666666666664</v>
      </c>
      <c r="H22" s="100">
        <f>IFERROR(G22+(E22-D22)/4,0)</f>
        <v>0.20681666666666665</v>
      </c>
      <c r="I22" s="100">
        <f>IFERROR(H22+(E22-D22)/5,0)</f>
        <v>0.20613666666666663</v>
      </c>
      <c r="J22" s="100">
        <f>IFERROR(I22+(E22-D22)/6,0)</f>
        <v>0.20556999999999997</v>
      </c>
      <c r="K22" s="100">
        <f>IFERROR(J22+(E22-D22)/7,0)</f>
        <v>0.20508428571428569</v>
      </c>
      <c r="R22" s="88" t="s">
        <v>296</v>
      </c>
    </row>
    <row r="23" spans="2:18" ht="21.75" customHeight="1" x14ac:dyDescent="0.2">
      <c r="B23" s="86" t="s">
        <v>77</v>
      </c>
      <c r="C23" s="98">
        <f>IFERROR(AVERAGE('📊 Hist Data'!C78:G78),0)</f>
        <v>3.9536269406812381E-2</v>
      </c>
      <c r="D23" s="99">
        <f>(297944-251299)/1393184</f>
        <v>3.3480861106644923E-2</v>
      </c>
      <c r="E23" s="99">
        <f>(317627-269042)/1508630</f>
        <v>3.2204715536612687E-2</v>
      </c>
      <c r="F23" s="100">
        <f>IFERROR(D23+(E23-D23)*0.5,0)</f>
        <v>3.2842788321628805E-2</v>
      </c>
      <c r="G23" s="100">
        <f>IFERROR(F23+(E23-D23)*0.4,0)</f>
        <v>3.2332330093615913E-2</v>
      </c>
      <c r="H23" s="100">
        <f>IFERROR(G23+(E23-D23)*0.3,0)</f>
        <v>3.1949486422606241E-2</v>
      </c>
      <c r="I23" s="100">
        <f>IFERROR(H23+(E23-D23)*0.2,0)</f>
        <v>3.1694257308599795E-2</v>
      </c>
      <c r="J23" s="100">
        <f>IFERROR(I23+(E23-D23)*0.1,0)</f>
        <v>3.1566642751596569E-2</v>
      </c>
      <c r="K23" s="100">
        <f>IFERROR(J23,0)</f>
        <v>3.1566642751596569E-2</v>
      </c>
      <c r="R23" s="88" t="s">
        <v>297</v>
      </c>
    </row>
    <row r="24" spans="2:18" ht="21.75" customHeight="1" x14ac:dyDescent="0.2">
      <c r="B24" s="101" t="s">
        <v>298</v>
      </c>
      <c r="C24" s="98">
        <f>IFERROR(AVERAGE('📊 Hist Data'!C80:G80),0)</f>
        <v>0.18172532189161367</v>
      </c>
      <c r="D24" s="98">
        <f t="shared" ref="D24:K24" si="0">IFERROR(D22-D23,0)</f>
        <v>0.18041913889335509</v>
      </c>
      <c r="E24" s="98">
        <f t="shared" si="0"/>
        <v>0.1782952844633873</v>
      </c>
      <c r="F24" s="102">
        <f t="shared" si="0"/>
        <v>0.17595721167837119</v>
      </c>
      <c r="G24" s="102">
        <f t="shared" si="0"/>
        <v>0.17533433657305073</v>
      </c>
      <c r="H24" s="102">
        <f t="shared" si="0"/>
        <v>0.17486718024406039</v>
      </c>
      <c r="I24" s="102">
        <f t="shared" si="0"/>
        <v>0.17444240935806685</v>
      </c>
      <c r="J24" s="102">
        <f t="shared" si="0"/>
        <v>0.17400335724840341</v>
      </c>
      <c r="K24" s="102">
        <f t="shared" si="0"/>
        <v>0.17351764296268912</v>
      </c>
      <c r="R24" s="88" t="s">
        <v>299</v>
      </c>
    </row>
    <row r="27" spans="2:18" ht="19.5" customHeight="1" x14ac:dyDescent="0.2">
      <c r="B27" s="222" t="s">
        <v>300</v>
      </c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</row>
    <row r="28" spans="2:18" ht="21.75" customHeight="1" x14ac:dyDescent="0.2">
      <c r="B28" s="95" t="s">
        <v>284</v>
      </c>
      <c r="C28" s="96" t="s">
        <v>285</v>
      </c>
      <c r="D28" s="85" t="s">
        <v>286</v>
      </c>
      <c r="E28" s="85" t="s">
        <v>287</v>
      </c>
      <c r="F28" s="97" t="s">
        <v>288</v>
      </c>
      <c r="G28" s="97" t="s">
        <v>289</v>
      </c>
      <c r="H28" s="97" t="s">
        <v>290</v>
      </c>
      <c r="I28" s="97" t="s">
        <v>291</v>
      </c>
      <c r="J28" s="97" t="s">
        <v>292</v>
      </c>
      <c r="K28" s="97" t="s">
        <v>293</v>
      </c>
      <c r="R28" s="88" t="s">
        <v>294</v>
      </c>
    </row>
    <row r="29" spans="2:18" ht="21.75" customHeight="1" x14ac:dyDescent="0.2">
      <c r="B29" s="89" t="s">
        <v>301</v>
      </c>
      <c r="C29" s="98">
        <f>IFERROR(AVERAGE('📊 Hist Data'!C79:G79),0)</f>
        <v>1.3100856853994322E-2</v>
      </c>
      <c r="D29" s="99">
        <f>37520/1393184</f>
        <v>2.6931116062199969E-2</v>
      </c>
      <c r="E29" s="99">
        <f>38276/1508630</f>
        <v>2.537136342244288E-2</v>
      </c>
      <c r="F29" s="100">
        <f>AVERAGE(C29:E29)</f>
        <v>2.1801112112879061E-2</v>
      </c>
      <c r="G29" s="100">
        <f>$F$29</f>
        <v>2.1801112112879061E-2</v>
      </c>
      <c r="H29" s="100">
        <f>$F$29</f>
        <v>2.1801112112879061E-2</v>
      </c>
      <c r="I29" s="100">
        <f>$F$29</f>
        <v>2.1801112112879061E-2</v>
      </c>
      <c r="J29" s="100">
        <f>$F$29</f>
        <v>2.1801112112879061E-2</v>
      </c>
      <c r="K29" s="100">
        <f>$F$29</f>
        <v>2.1801112112879061E-2</v>
      </c>
      <c r="R29" s="88" t="s">
        <v>302</v>
      </c>
    </row>
    <row r="30" spans="2:18" ht="19.5" customHeight="1" x14ac:dyDescent="0.2">
      <c r="B30" s="101" t="s">
        <v>303</v>
      </c>
      <c r="C30" s="103">
        <f>IFERROR(AVERAGE('📊 Hist Data'!C73:G73),0)</f>
        <v>1376.8</v>
      </c>
      <c r="D30" s="103">
        <f>IFERROR(D29*'📈 Projections'!D5,0)</f>
        <v>3752.0202521992792</v>
      </c>
      <c r="E30" s="103">
        <f>IFERROR(E29*'📈 Projections'!E5,0)</f>
        <v>3827.7448628940306</v>
      </c>
      <c r="F30" s="104">
        <f>IFERROR(F29*'📈 Projections'!F5,0)</f>
        <v>3437.1154089656102</v>
      </c>
      <c r="G30" s="104">
        <f>IFERROR(G29*'📈 Projections'!G5,0)</f>
        <v>3598.6598331869936</v>
      </c>
      <c r="H30" s="104">
        <f>IFERROR(H29*'📈 Projections'!H5,0)</f>
        <v>3779.3125568129803</v>
      </c>
      <c r="I30" s="104">
        <f>IFERROR(I29*'📈 Projections'!I5,0)</f>
        <v>3979.918467328614</v>
      </c>
      <c r="J30" s="104">
        <f>IFERROR(J29*'📈 Projections'!J5,0)</f>
        <v>4197.2856943402339</v>
      </c>
      <c r="K30" s="104">
        <f>IFERROR(K29*'📈 Projections'!K5,0)</f>
        <v>4428.1364075289457</v>
      </c>
      <c r="R30" s="88" t="s">
        <v>304</v>
      </c>
    </row>
    <row r="33" spans="1:19" ht="19.5" customHeight="1" x14ac:dyDescent="0.2">
      <c r="B33" s="217" t="s">
        <v>305</v>
      </c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</row>
    <row r="34" spans="1:19" ht="18" customHeight="1" x14ac:dyDescent="0.2">
      <c r="B34" s="85" t="s">
        <v>306</v>
      </c>
      <c r="C34" s="96" t="s">
        <v>307</v>
      </c>
      <c r="D34" s="85" t="s">
        <v>286</v>
      </c>
      <c r="E34" s="85" t="s">
        <v>287</v>
      </c>
      <c r="F34" s="105" t="s">
        <v>288</v>
      </c>
      <c r="G34" s="105" t="s">
        <v>289</v>
      </c>
      <c r="H34" s="105" t="s">
        <v>290</v>
      </c>
      <c r="I34" s="105" t="s">
        <v>291</v>
      </c>
      <c r="J34" s="105" t="s">
        <v>292</v>
      </c>
      <c r="K34" s="105" t="s">
        <v>293</v>
      </c>
      <c r="R34" s="34" t="s">
        <v>308</v>
      </c>
    </row>
    <row r="35" spans="1:19" ht="24" customHeight="1" x14ac:dyDescent="0.2">
      <c r="B35" s="89" t="s">
        <v>309</v>
      </c>
      <c r="C35" s="106">
        <f>AVERAGE('📊 Hist Data'!C81:G81)</f>
        <v>0.16503034054517332</v>
      </c>
      <c r="D35" s="107"/>
      <c r="E35" s="107"/>
      <c r="F35" s="108"/>
      <c r="G35" s="108"/>
      <c r="H35" s="108"/>
      <c r="I35" s="109"/>
      <c r="J35" s="109"/>
      <c r="K35" s="109"/>
      <c r="R35" s="110" t="s">
        <v>310</v>
      </c>
    </row>
    <row r="36" spans="1:19" ht="31.5" customHeight="1" x14ac:dyDescent="0.2">
      <c r="B36" s="84" t="s">
        <v>311</v>
      </c>
      <c r="C36" s="111">
        <f>SUMPRODUCT(C38:$G$38,'📊 Hist Data'!C81:G81)/SUM('🔑 Assumptions'!$C$38:$G$38)</f>
        <v>0.15784435515739242</v>
      </c>
      <c r="D36" s="112">
        <f>IFERROR($C$36,0)</f>
        <v>0.15784435515739242</v>
      </c>
      <c r="E36" s="112">
        <f>IFERROR(D36,0)</f>
        <v>0.15784435515739242</v>
      </c>
      <c r="F36" s="113">
        <f t="shared" ref="F36:K36" si="1">IFERROR($E$36,0)</f>
        <v>0.15784435515739242</v>
      </c>
      <c r="G36" s="113">
        <f t="shared" si="1"/>
        <v>0.15784435515739242</v>
      </c>
      <c r="H36" s="113">
        <f t="shared" si="1"/>
        <v>0.15784435515739242</v>
      </c>
      <c r="I36" s="113">
        <f t="shared" si="1"/>
        <v>0.15784435515739242</v>
      </c>
      <c r="J36" s="113">
        <f t="shared" si="1"/>
        <v>0.15784435515739242</v>
      </c>
      <c r="K36" s="113">
        <f t="shared" si="1"/>
        <v>0.15784435515739242</v>
      </c>
      <c r="R36" s="114" t="s">
        <v>312</v>
      </c>
    </row>
    <row r="37" spans="1:19" ht="19.5" customHeight="1" x14ac:dyDescent="0.2">
      <c r="A37" s="75"/>
      <c r="B37" s="115" t="s">
        <v>313</v>
      </c>
      <c r="C37" s="116" t="s">
        <v>314</v>
      </c>
      <c r="D37" s="116" t="s">
        <v>315</v>
      </c>
      <c r="E37" s="116" t="s">
        <v>316</v>
      </c>
      <c r="F37" s="116" t="s">
        <v>317</v>
      </c>
      <c r="G37" s="116" t="s">
        <v>318</v>
      </c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</row>
    <row r="38" spans="1:19" ht="18.75" customHeight="1" x14ac:dyDescent="0.2">
      <c r="A38" s="75"/>
      <c r="B38" s="117" t="s">
        <v>319</v>
      </c>
      <c r="C38" s="118">
        <v>1</v>
      </c>
      <c r="D38" s="118">
        <v>2</v>
      </c>
      <c r="E38" s="119">
        <v>3</v>
      </c>
      <c r="F38" s="120">
        <v>4</v>
      </c>
      <c r="G38" s="120">
        <v>5</v>
      </c>
      <c r="H38" s="75"/>
      <c r="I38" s="121" t="s">
        <v>320</v>
      </c>
      <c r="J38" s="75"/>
      <c r="K38" s="75"/>
      <c r="L38" s="75"/>
      <c r="M38" s="75"/>
      <c r="N38" s="75"/>
      <c r="O38" s="75"/>
      <c r="P38" s="75"/>
      <c r="Q38" s="75"/>
      <c r="R38" s="122"/>
      <c r="S38" s="75"/>
    </row>
    <row r="39" spans="1:19" ht="3.75" customHeight="1" x14ac:dyDescent="0.2">
      <c r="A39" s="75"/>
      <c r="B39" s="86"/>
      <c r="C39" s="123"/>
      <c r="D39" s="123"/>
      <c r="E39" s="124"/>
      <c r="F39" s="125"/>
      <c r="G39" s="12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122"/>
      <c r="S39" s="75"/>
    </row>
    <row r="40" spans="1:19" ht="3.75" customHeight="1" x14ac:dyDescent="0.2">
      <c r="A40" s="75"/>
      <c r="B40" s="86"/>
      <c r="C40" s="126"/>
      <c r="D40" s="126"/>
      <c r="E40" s="127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122"/>
      <c r="S40" s="75"/>
    </row>
    <row r="41" spans="1:19" ht="3.75" customHeight="1" x14ac:dyDescent="0.2">
      <c r="A41" s="75"/>
      <c r="B41" s="86"/>
      <c r="C41" s="126"/>
      <c r="D41" s="126"/>
      <c r="E41" s="127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122"/>
      <c r="S41" s="75"/>
    </row>
    <row r="44" spans="1:19" ht="51.75" customHeight="1" x14ac:dyDescent="0.2">
      <c r="B44" s="128"/>
    </row>
    <row r="45" spans="1:19" ht="18" customHeight="1" x14ac:dyDescent="0.2">
      <c r="B45" s="85"/>
      <c r="C45" s="96"/>
      <c r="D45" s="85"/>
      <c r="E45" s="85"/>
      <c r="F45" s="97"/>
      <c r="G45" s="97"/>
      <c r="H45" s="97"/>
      <c r="I45" s="97"/>
      <c r="J45" s="97"/>
      <c r="K45" s="97"/>
    </row>
    <row r="46" spans="1:19" ht="19.5" customHeight="1" x14ac:dyDescent="0.2">
      <c r="B46" s="86"/>
      <c r="C46" s="103"/>
      <c r="D46" s="129"/>
      <c r="E46" s="129"/>
      <c r="F46" s="130"/>
      <c r="G46" s="130"/>
      <c r="H46" s="130"/>
      <c r="I46" s="130"/>
      <c r="J46" s="130"/>
      <c r="K46" s="130"/>
    </row>
    <row r="47" spans="1:19" ht="18" customHeight="1" x14ac:dyDescent="0.2">
      <c r="B47" s="86"/>
      <c r="C47" s="103"/>
      <c r="D47" s="129"/>
      <c r="E47" s="129"/>
      <c r="F47" s="130"/>
      <c r="G47" s="130"/>
      <c r="H47" s="130"/>
      <c r="I47" s="130"/>
      <c r="J47" s="130"/>
      <c r="K47" s="130"/>
    </row>
    <row r="48" spans="1:19" ht="18" customHeight="1" x14ac:dyDescent="0.2">
      <c r="B48" s="86"/>
      <c r="C48" s="103"/>
      <c r="D48" s="103"/>
      <c r="E48" s="103"/>
      <c r="F48" s="103"/>
      <c r="G48" s="103"/>
      <c r="H48" s="103"/>
      <c r="I48" s="103"/>
      <c r="J48" s="103"/>
      <c r="K48" s="103"/>
    </row>
    <row r="49" spans="2:17" ht="18" customHeight="1" x14ac:dyDescent="0.2">
      <c r="B49" s="86"/>
      <c r="C49" s="98"/>
      <c r="D49" s="99"/>
      <c r="E49" s="99"/>
      <c r="F49" s="99"/>
      <c r="G49" s="99"/>
      <c r="H49" s="99"/>
      <c r="I49" s="99"/>
      <c r="J49" s="99"/>
      <c r="K49" s="99"/>
    </row>
    <row r="52" spans="2:17" ht="19.5" customHeight="1" x14ac:dyDescent="0.2">
      <c r="B52" s="217" t="s">
        <v>321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</row>
    <row r="53" spans="2:17" ht="21.75" customHeight="1" x14ac:dyDescent="0.2">
      <c r="B53" s="85" t="s">
        <v>322</v>
      </c>
      <c r="C53" s="85" t="s">
        <v>257</v>
      </c>
      <c r="D53" s="220" t="s">
        <v>323</v>
      </c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</row>
    <row r="54" spans="2:17" ht="18" customHeight="1" x14ac:dyDescent="0.2">
      <c r="B54" s="221" t="s">
        <v>324</v>
      </c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</row>
    <row r="55" spans="2:17" ht="27.75" customHeight="1" x14ac:dyDescent="0.2">
      <c r="B55" s="86" t="s">
        <v>325</v>
      </c>
      <c r="C55" s="99">
        <v>7.0999999999999994E-2</v>
      </c>
      <c r="D55" s="220" t="s">
        <v>326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</row>
    <row r="56" spans="2:17" ht="27.75" customHeight="1" x14ac:dyDescent="0.2">
      <c r="B56" s="86" t="s">
        <v>327</v>
      </c>
      <c r="C56" s="99">
        <v>7.2599999999999998E-2</v>
      </c>
      <c r="D56" s="220" t="s">
        <v>328</v>
      </c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</row>
    <row r="57" spans="2:17" ht="27.75" customHeight="1" x14ac:dyDescent="0.2">
      <c r="B57" s="86" t="s">
        <v>329</v>
      </c>
      <c r="C57" s="131">
        <f>IFERROR('📐 Beta Calc'!C6,1)</f>
        <v>0.91809062572967104</v>
      </c>
      <c r="D57" s="220" t="s">
        <v>330</v>
      </c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</row>
    <row r="58" spans="2:17" ht="21.75" customHeight="1" x14ac:dyDescent="0.2">
      <c r="B58" s="86" t="s">
        <v>331</v>
      </c>
      <c r="C58" s="132">
        <v>1</v>
      </c>
      <c r="D58" s="220" t="s">
        <v>332</v>
      </c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</row>
    <row r="59" spans="2:17" ht="18" customHeight="1" x14ac:dyDescent="0.2">
      <c r="B59" s="86" t="s">
        <v>333</v>
      </c>
      <c r="C59" s="98">
        <f>IFERROR(C55+C57*C56,0)</f>
        <v>0.13765337942797412</v>
      </c>
    </row>
    <row r="60" spans="2:17" ht="18" customHeight="1" x14ac:dyDescent="0.2">
      <c r="B60" s="86" t="s">
        <v>334</v>
      </c>
      <c r="C60" s="98">
        <f>IFERROR(C55+C58*C56,0)</f>
        <v>0.14360000000000001</v>
      </c>
    </row>
    <row r="62" spans="2:17" ht="18" customHeight="1" x14ac:dyDescent="0.2">
      <c r="B62" s="221" t="s">
        <v>335</v>
      </c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</row>
    <row r="63" spans="2:17" ht="18" customHeight="1" x14ac:dyDescent="0.2">
      <c r="B63" s="86" t="s">
        <v>336</v>
      </c>
      <c r="C63" s="103">
        <f>IFERROR('📊 Hist Data'!G71,0)</f>
        <v>869</v>
      </c>
      <c r="D63" s="220" t="s">
        <v>337</v>
      </c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</row>
    <row r="64" spans="2:17" ht="18" customHeight="1" x14ac:dyDescent="0.2">
      <c r="B64" s="86" t="s">
        <v>338</v>
      </c>
      <c r="C64" s="103">
        <f>IFERROR('📊 Hist Data'!G70,0)</f>
        <v>5745.5</v>
      </c>
      <c r="D64" s="220" t="s">
        <v>339</v>
      </c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</row>
    <row r="65" spans="2:17" ht="18" customHeight="1" x14ac:dyDescent="0.2">
      <c r="B65" s="86" t="s">
        <v>340</v>
      </c>
      <c r="C65" s="98">
        <f>IFERROR(C63/C64,0.085)</f>
        <v>0.15124880341136543</v>
      </c>
    </row>
    <row r="66" spans="2:17" ht="18" customHeight="1" x14ac:dyDescent="0.2">
      <c r="B66" s="86" t="s">
        <v>341</v>
      </c>
      <c r="C66" s="98">
        <f>IFERROR(C65*(1-$C$15),0)</f>
        <v>0.11390659559452404</v>
      </c>
    </row>
    <row r="68" spans="2:17" ht="18" customHeight="1" x14ac:dyDescent="0.2">
      <c r="B68" s="221" t="s">
        <v>342</v>
      </c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</row>
    <row r="69" spans="2:17" ht="21.75" customHeight="1" x14ac:dyDescent="0.2">
      <c r="B69" s="86" t="s">
        <v>343</v>
      </c>
      <c r="C69" s="103">
        <f>IFERROR('📊 Hist Data'!G68,0)</f>
        <v>315200</v>
      </c>
      <c r="D69" s="220" t="s">
        <v>344</v>
      </c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</row>
    <row r="70" spans="2:17" ht="18" customHeight="1" x14ac:dyDescent="0.2">
      <c r="B70" s="86" t="s">
        <v>345</v>
      </c>
      <c r="C70" s="103">
        <f>IFERROR('📊 Hist Data'!G62,0)</f>
        <v>5215</v>
      </c>
      <c r="D70" s="220" t="s">
        <v>346</v>
      </c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</row>
    <row r="71" spans="2:17" ht="18" customHeight="1" x14ac:dyDescent="0.2">
      <c r="B71" s="86" t="s">
        <v>347</v>
      </c>
      <c r="C71" s="98">
        <f>IFERROR(C69/(C69+C70),0.6)</f>
        <v>0.98372423263580044</v>
      </c>
    </row>
    <row r="72" spans="2:17" ht="18" customHeight="1" x14ac:dyDescent="0.2">
      <c r="B72" s="86" t="s">
        <v>348</v>
      </c>
      <c r="C72" s="98">
        <f>IFERROR(1-C71,0.4)</f>
        <v>1.6275767364199556E-2</v>
      </c>
    </row>
    <row r="74" spans="2:17" ht="18" customHeight="1" x14ac:dyDescent="0.2">
      <c r="B74" s="221" t="s">
        <v>349</v>
      </c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</row>
    <row r="75" spans="2:17" ht="21.75" customHeight="1" x14ac:dyDescent="0.2">
      <c r="B75" s="86" t="s">
        <v>350</v>
      </c>
      <c r="C75" s="133">
        <f>IFERROR(C59*C71+C66*C72,0)</f>
        <v>0.13726688229865294</v>
      </c>
    </row>
    <row r="76" spans="2:17" ht="18" customHeight="1" x14ac:dyDescent="0.2">
      <c r="B76" s="86" t="s">
        <v>351</v>
      </c>
      <c r="C76" s="134">
        <f>IFERROR(C60*C71+C66*C72*0.98,0)</f>
        <v>0.1430796387126225</v>
      </c>
    </row>
    <row r="77" spans="2:17" ht="18" customHeight="1" x14ac:dyDescent="0.2">
      <c r="B77" s="86" t="s">
        <v>352</v>
      </c>
      <c r="C77" s="135">
        <f>IFERROR(C76-C14,0)</f>
        <v>8.8079638712622504E-2</v>
      </c>
    </row>
    <row r="80" spans="2:17" ht="21.75" customHeight="1" x14ac:dyDescent="0.2">
      <c r="B80" s="222" t="s">
        <v>353</v>
      </c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</row>
    <row r="81" spans="2:17" ht="21.75" customHeight="1" x14ac:dyDescent="0.2">
      <c r="B81" s="136" t="s">
        <v>322</v>
      </c>
      <c r="C81" s="136" t="s">
        <v>257</v>
      </c>
      <c r="D81" s="220" t="s">
        <v>323</v>
      </c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</row>
    <row r="82" spans="2:17" ht="27.75" customHeight="1" x14ac:dyDescent="0.2">
      <c r="B82" s="89" t="s">
        <v>354</v>
      </c>
      <c r="C82" s="91">
        <v>6.5000000000000002E-2</v>
      </c>
      <c r="D82" s="220" t="s">
        <v>355</v>
      </c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</row>
    <row r="83" spans="2:17" ht="27.75" customHeight="1" x14ac:dyDescent="0.2">
      <c r="B83" s="137" t="s">
        <v>356</v>
      </c>
      <c r="C83" s="138" t="s">
        <v>357</v>
      </c>
      <c r="D83" s="220" t="s">
        <v>358</v>
      </c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</row>
    <row r="86" spans="2:17" ht="19.5" customHeight="1" x14ac:dyDescent="0.2">
      <c r="B86" s="217" t="s">
        <v>359</v>
      </c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</row>
    <row r="87" spans="2:17" ht="21.75" customHeight="1" x14ac:dyDescent="0.2">
      <c r="B87" s="85" t="s">
        <v>360</v>
      </c>
      <c r="C87" s="85" t="s">
        <v>257</v>
      </c>
      <c r="D87" s="220" t="s">
        <v>112</v>
      </c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</row>
    <row r="88" spans="2:17" ht="21.75" customHeight="1" x14ac:dyDescent="0.2">
      <c r="B88" s="86" t="s">
        <v>228</v>
      </c>
      <c r="C88" s="139">
        <f>IFERROR('📊 Hist Data'!G62,0)</f>
        <v>5215</v>
      </c>
      <c r="D88" s="220" t="s">
        <v>361</v>
      </c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</row>
    <row r="89" spans="2:17" ht="21.75" customHeight="1" x14ac:dyDescent="0.2">
      <c r="B89" s="86" t="s">
        <v>362</v>
      </c>
      <c r="C89" s="139">
        <f>IFERROR('📊 Hist Data'!G63,0)</f>
        <v>23425</v>
      </c>
      <c r="D89" s="220" t="s">
        <v>363</v>
      </c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</row>
    <row r="90" spans="2:17" ht="21.75" customHeight="1" x14ac:dyDescent="0.2">
      <c r="B90" s="140" t="s">
        <v>364</v>
      </c>
      <c r="C90" s="141">
        <v>7090</v>
      </c>
      <c r="D90" s="220" t="s">
        <v>365</v>
      </c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</row>
    <row r="91" spans="2:17" ht="21.75" customHeight="1" x14ac:dyDescent="0.2">
      <c r="B91" s="86" t="s">
        <v>366</v>
      </c>
      <c r="C91" s="139">
        <f>IFERROR('📊 Hist Data'!G66,0)</f>
        <v>32</v>
      </c>
      <c r="D91" s="220" t="s">
        <v>367</v>
      </c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</row>
    <row r="92" spans="2:17" ht="21.75" customHeight="1" x14ac:dyDescent="0.2">
      <c r="B92" s="86" t="s">
        <v>237</v>
      </c>
      <c r="C92" s="142">
        <f>IFERROR('📊 Hist Data'!G69,0)</f>
        <v>271.37</v>
      </c>
      <c r="D92" s="220" t="s">
        <v>368</v>
      </c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</row>
    <row r="93" spans="2:17" ht="21.75" customHeight="1" x14ac:dyDescent="0.2">
      <c r="B93" s="140" t="s">
        <v>369</v>
      </c>
      <c r="C93" s="141">
        <v>1165</v>
      </c>
      <c r="D93" s="220" t="s">
        <v>370</v>
      </c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</row>
    <row r="95" spans="2:17" ht="21.75" customHeight="1" x14ac:dyDescent="0.2">
      <c r="B95" s="89" t="s">
        <v>371</v>
      </c>
      <c r="C95" s="143">
        <f>IFERROR(C89-C88-C90,0)</f>
        <v>11120</v>
      </c>
      <c r="D95" s="220" t="s">
        <v>372</v>
      </c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</row>
  </sheetData>
  <mergeCells count="45">
    <mergeCell ref="D90:Q90"/>
    <mergeCell ref="D91:Q91"/>
    <mergeCell ref="D92:Q92"/>
    <mergeCell ref="D93:Q93"/>
    <mergeCell ref="D95:Q95"/>
    <mergeCell ref="D83:Q83"/>
    <mergeCell ref="B86:Q86"/>
    <mergeCell ref="D87:Q87"/>
    <mergeCell ref="D88:Q88"/>
    <mergeCell ref="D89:Q89"/>
    <mergeCell ref="D70:Q70"/>
    <mergeCell ref="B74:Q74"/>
    <mergeCell ref="B80:Q80"/>
    <mergeCell ref="D81:Q81"/>
    <mergeCell ref="D82:Q82"/>
    <mergeCell ref="B62:Q62"/>
    <mergeCell ref="D63:Q63"/>
    <mergeCell ref="D64:Q64"/>
    <mergeCell ref="B68:Q68"/>
    <mergeCell ref="D69:Q69"/>
    <mergeCell ref="B54:Q54"/>
    <mergeCell ref="D55:Q55"/>
    <mergeCell ref="D56:Q56"/>
    <mergeCell ref="D57:Q57"/>
    <mergeCell ref="D58:Q58"/>
    <mergeCell ref="B19:Q19"/>
    <mergeCell ref="B27:Q27"/>
    <mergeCell ref="B33:Q33"/>
    <mergeCell ref="B52:Q52"/>
    <mergeCell ref="D53:Q53"/>
    <mergeCell ref="D12:Q12"/>
    <mergeCell ref="D13:Q13"/>
    <mergeCell ref="D14:Q14"/>
    <mergeCell ref="D15:Q15"/>
    <mergeCell ref="D16:Q16"/>
    <mergeCell ref="D7:Q7"/>
    <mergeCell ref="D8:Q8"/>
    <mergeCell ref="D9:Q9"/>
    <mergeCell ref="D10:Q10"/>
    <mergeCell ref="D11:Q11"/>
    <mergeCell ref="B1:Q1"/>
    <mergeCell ref="B2:Q2"/>
    <mergeCell ref="B4:Q4"/>
    <mergeCell ref="D5:Q5"/>
    <mergeCell ref="D6:Q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showGridLines="0" topLeftCell="A22" zoomScaleNormal="100" workbookViewId="0">
      <selection activeCell="A22" sqref="A22:XFD30"/>
    </sheetView>
  </sheetViews>
  <sheetFormatPr baseColWidth="10" defaultColWidth="8.6640625" defaultRowHeight="15" x14ac:dyDescent="0.2"/>
  <cols>
    <col min="1" max="1" width="3" customWidth="1"/>
    <col min="2" max="2" width="47.5" customWidth="1"/>
    <col min="3" max="3" width="13" customWidth="1"/>
    <col min="4" max="11" width="11" customWidth="1"/>
    <col min="12" max="12" width="55" customWidth="1"/>
    <col min="13" max="15" width="13" customWidth="1"/>
  </cols>
  <sheetData>
    <row r="1" spans="2:15" ht="27.75" customHeight="1" x14ac:dyDescent="0.2">
      <c r="B1" s="223" t="s">
        <v>373</v>
      </c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</row>
    <row r="2" spans="2:15" ht="27.75" customHeight="1" x14ac:dyDescent="0.2">
      <c r="B2" s="1" t="s">
        <v>374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21.75" customHeight="1" x14ac:dyDescent="0.2">
      <c r="B3" s="12" t="s">
        <v>375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5" ht="19.5" customHeight="1" x14ac:dyDescent="0.2">
      <c r="B4" s="144" t="s">
        <v>376</v>
      </c>
      <c r="C4" s="145" t="s">
        <v>377</v>
      </c>
      <c r="D4" s="28" t="s">
        <v>286</v>
      </c>
      <c r="E4" s="28" t="s">
        <v>287</v>
      </c>
      <c r="F4" s="146" t="s">
        <v>288</v>
      </c>
      <c r="G4" s="146" t="s">
        <v>289</v>
      </c>
      <c r="H4" s="146" t="s">
        <v>290</v>
      </c>
      <c r="I4" s="146" t="s">
        <v>291</v>
      </c>
      <c r="J4" s="146" t="s">
        <v>292</v>
      </c>
      <c r="K4" s="146" t="s">
        <v>293</v>
      </c>
    </row>
    <row r="5" spans="2:15" ht="18" customHeight="1" x14ac:dyDescent="0.2">
      <c r="B5" s="147" t="s">
        <v>378</v>
      </c>
      <c r="C5" s="148">
        <f>IFERROR('📊 Hist Data'!G5,0)</f>
        <v>130144</v>
      </c>
      <c r="D5" s="148">
        <f t="shared" ref="D5:K5" si="0">C5*(1+D6)</f>
        <v>139319.152</v>
      </c>
      <c r="E5" s="148">
        <f t="shared" si="0"/>
        <v>150868.70970080001</v>
      </c>
      <c r="F5" s="149">
        <f t="shared" si="0"/>
        <v>157657.801637336</v>
      </c>
      <c r="G5" s="149">
        <f t="shared" si="0"/>
        <v>165067.71831429077</v>
      </c>
      <c r="H5" s="149">
        <f t="shared" si="0"/>
        <v>173354.11777366817</v>
      </c>
      <c r="I5" s="149">
        <f t="shared" si="0"/>
        <v>182555.75434509449</v>
      </c>
      <c r="J5" s="149">
        <f t="shared" si="0"/>
        <v>192526.21942440618</v>
      </c>
      <c r="K5" s="149">
        <f t="shared" si="0"/>
        <v>203115.16149274851</v>
      </c>
    </row>
    <row r="6" spans="2:15" ht="18" customHeight="1" x14ac:dyDescent="0.2">
      <c r="B6" s="147" t="s">
        <v>379</v>
      </c>
      <c r="C6" s="150">
        <f>IFERROR('📊 Hist Data'!G21,0)</f>
        <v>0.11181923027636581</v>
      </c>
      <c r="D6" s="150">
        <f>'🔑 Assumptions'!D21</f>
        <v>7.0499999999999993E-2</v>
      </c>
      <c r="E6" s="150">
        <f>'🔑 Assumptions'!E21</f>
        <v>8.2900000000000001E-2</v>
      </c>
      <c r="F6" s="151">
        <f>'🔑 Assumptions'!F21</f>
        <v>4.4999999999999998E-2</v>
      </c>
      <c r="G6" s="151">
        <f>'🔑 Assumptions'!G21</f>
        <v>4.7E-2</v>
      </c>
      <c r="H6" s="151">
        <f>'🔑 Assumptions'!H21</f>
        <v>5.0200000000000002E-2</v>
      </c>
      <c r="I6" s="151">
        <f>'🔑 Assumptions'!I21</f>
        <v>5.3080000000000002E-2</v>
      </c>
      <c r="J6" s="151">
        <f>'🔑 Assumptions'!J21</f>
        <v>5.4615999999999998E-2</v>
      </c>
      <c r="K6" s="151">
        <f>'🔑 Assumptions'!K21</f>
        <v>5.5E-2</v>
      </c>
    </row>
    <row r="7" spans="2:15" ht="18" customHeight="1" x14ac:dyDescent="0.2">
      <c r="B7" s="147" t="s">
        <v>380</v>
      </c>
      <c r="C7" s="148">
        <f>IFERROR('📊 Hist Data'!G6,0)</f>
        <v>26752</v>
      </c>
      <c r="D7" s="148">
        <f t="shared" ref="D7:K7" si="1">D5*D8</f>
        <v>29800.3666128</v>
      </c>
      <c r="E7" s="148">
        <f t="shared" si="1"/>
        <v>31757.8633920184</v>
      </c>
      <c r="F7" s="149">
        <f t="shared" si="1"/>
        <v>32918.948981875757</v>
      </c>
      <c r="G7" s="149">
        <f t="shared" si="1"/>
        <v>34279.06283660105</v>
      </c>
      <c r="H7" s="149">
        <f t="shared" si="1"/>
        <v>35852.520790890805</v>
      </c>
      <c r="I7" s="149">
        <f t="shared" si="1"/>
        <v>37631.434681516621</v>
      </c>
      <c r="J7" s="149">
        <f t="shared" si="1"/>
        <v>39577.614927075178</v>
      </c>
      <c r="K7" s="149">
        <f t="shared" si="1"/>
        <v>41655.727812482117</v>
      </c>
    </row>
    <row r="8" spans="2:15" ht="18" customHeight="1" x14ac:dyDescent="0.2">
      <c r="B8" s="147" t="s">
        <v>381</v>
      </c>
      <c r="C8" s="150">
        <f>IFERROR('📊 Hist Data'!G77,0)</f>
        <v>0.20555692156380626</v>
      </c>
      <c r="D8" s="150">
        <f>'🔑 Assumptions'!D22</f>
        <v>0.21390000000000001</v>
      </c>
      <c r="E8" s="150">
        <f>'🔑 Assumptions'!E22</f>
        <v>0.21049999999999999</v>
      </c>
      <c r="F8" s="152">
        <f>'🔑 Assumptions'!F22</f>
        <v>0.20879999999999999</v>
      </c>
      <c r="G8" s="153">
        <f>'🔑 Assumptions'!G22</f>
        <v>0.20766666666666664</v>
      </c>
      <c r="H8" s="152">
        <f>'🔑 Assumptions'!H22</f>
        <v>0.20681666666666665</v>
      </c>
      <c r="I8" s="152">
        <f>'🔑 Assumptions'!I22</f>
        <v>0.20613666666666663</v>
      </c>
      <c r="J8" s="152">
        <f>'🔑 Assumptions'!J22</f>
        <v>0.20556999999999997</v>
      </c>
      <c r="K8" s="152">
        <f>'🔑 Assumptions'!K22</f>
        <v>0.20508428571428569</v>
      </c>
    </row>
    <row r="9" spans="2:15" ht="18" customHeight="1" x14ac:dyDescent="0.2">
      <c r="B9" s="147" t="s">
        <v>382</v>
      </c>
      <c r="C9" s="148">
        <f>IFERROR('📊 Hist Data'!G9,0)</f>
        <v>4355</v>
      </c>
      <c r="D9" s="148">
        <f>IFERROR(D5*'🔑 Assumptions'!D23,0)</f>
        <v>4664.525177607552</v>
      </c>
      <c r="E9" s="148">
        <f>IFERROR(E5*'🔑 Assumptions'!E23,0)</f>
        <v>4858.6838792900635</v>
      </c>
      <c r="F9" s="149">
        <f>IFERROR(F5*'🔑 Assumptions'!F23,0)</f>
        <v>5177.9218064283696</v>
      </c>
      <c r="G9" s="149">
        <f>IFERROR(G5*'🔑 Assumptions'!G23,0)</f>
        <v>5337.0239563376581</v>
      </c>
      <c r="H9" s="149">
        <f>IFERROR(H5*'🔑 Assumptions'!H23,0)</f>
        <v>5538.5750321126943</v>
      </c>
      <c r="I9" s="149">
        <f>IFERROR(I5*'🔑 Assumptions'!I23,0)</f>
        <v>5785.9690513789601</v>
      </c>
      <c r="J9" s="149">
        <f>IFERROR(J5*'🔑 Assumptions'!J23,0)</f>
        <v>6077.4063888857218</v>
      </c>
      <c r="K9" s="149">
        <f>IFERROR(K5*'🔑 Assumptions'!K23,0)</f>
        <v>6411.6637402744363</v>
      </c>
    </row>
    <row r="10" spans="2:15" ht="18" customHeight="1" x14ac:dyDescent="0.2">
      <c r="B10" s="147" t="s">
        <v>169</v>
      </c>
      <c r="C10" s="148">
        <f>IFERROR('📊 Hist Data'!G80*'📊 Hist Data'!G5,0)</f>
        <v>22397</v>
      </c>
      <c r="D10" s="148">
        <f t="shared" ref="D10:K10" si="2">IFERROR(D7-D9,0)</f>
        <v>25135.841435192448</v>
      </c>
      <c r="E10" s="148">
        <f t="shared" si="2"/>
        <v>26899.179512728337</v>
      </c>
      <c r="F10" s="149">
        <f t="shared" si="2"/>
        <v>27741.027175447387</v>
      </c>
      <c r="G10" s="149">
        <f t="shared" si="2"/>
        <v>28942.03888026339</v>
      </c>
      <c r="H10" s="149">
        <f t="shared" si="2"/>
        <v>30313.945758778111</v>
      </c>
      <c r="I10" s="149">
        <f t="shared" si="2"/>
        <v>31845.46563013766</v>
      </c>
      <c r="J10" s="149">
        <f t="shared" si="2"/>
        <v>33500.208538189458</v>
      </c>
      <c r="K10" s="149">
        <f t="shared" si="2"/>
        <v>35244.064072207679</v>
      </c>
    </row>
    <row r="11" spans="2:15" ht="18" customHeight="1" x14ac:dyDescent="0.2">
      <c r="B11" s="147" t="s">
        <v>383</v>
      </c>
      <c r="C11" s="150">
        <f>IFERROR('📊 Hist Data'!G80,0)</f>
        <v>0.1720939881976887</v>
      </c>
      <c r="D11" s="150">
        <f t="shared" ref="D11:K11" si="3">IFERROR(D10/D5,0)</f>
        <v>0.18041913889335506</v>
      </c>
      <c r="E11" s="150">
        <f t="shared" si="3"/>
        <v>0.1782952844633873</v>
      </c>
      <c r="F11" s="152">
        <f t="shared" si="3"/>
        <v>0.17595721167837119</v>
      </c>
      <c r="G11" s="152">
        <f t="shared" si="3"/>
        <v>0.17533433657305073</v>
      </c>
      <c r="H11" s="152">
        <f t="shared" si="3"/>
        <v>0.17486718024406042</v>
      </c>
      <c r="I11" s="152">
        <f t="shared" si="3"/>
        <v>0.17444240935806682</v>
      </c>
      <c r="J11" s="152">
        <f t="shared" si="3"/>
        <v>0.17400335724840343</v>
      </c>
      <c r="K11" s="152">
        <f t="shared" si="3"/>
        <v>0.17351764296268912</v>
      </c>
    </row>
    <row r="12" spans="2:15" ht="18" customHeight="1" x14ac:dyDescent="0.2">
      <c r="B12" s="154" t="s">
        <v>384</v>
      </c>
      <c r="C12" s="148">
        <f>IFERROR('📊 Hist Data'!G8,0)</f>
        <v>869</v>
      </c>
      <c r="D12" s="148">
        <f t="shared" ref="D12:K12" si="4">$C$12</f>
        <v>869</v>
      </c>
      <c r="E12" s="148">
        <f t="shared" si="4"/>
        <v>869</v>
      </c>
      <c r="F12" s="149">
        <f t="shared" si="4"/>
        <v>869</v>
      </c>
      <c r="G12" s="149">
        <f t="shared" si="4"/>
        <v>869</v>
      </c>
      <c r="H12" s="149">
        <f t="shared" si="4"/>
        <v>869</v>
      </c>
      <c r="I12" s="149">
        <f t="shared" si="4"/>
        <v>869</v>
      </c>
      <c r="J12" s="149">
        <f t="shared" si="4"/>
        <v>869</v>
      </c>
      <c r="K12" s="149">
        <f t="shared" si="4"/>
        <v>869</v>
      </c>
    </row>
    <row r="13" spans="2:15" ht="18" customHeight="1" x14ac:dyDescent="0.2">
      <c r="B13" s="154" t="s">
        <v>385</v>
      </c>
      <c r="C13" s="148">
        <f>IFERROR(ABS('📊 Hist Data'!G7),0)</f>
        <v>574</v>
      </c>
      <c r="D13" s="148">
        <f t="shared" ref="D13:K13" si="5">IFERROR(ABS(C13)*1.03,0)</f>
        <v>591.22</v>
      </c>
      <c r="E13" s="148">
        <f t="shared" si="5"/>
        <v>608.95660000000009</v>
      </c>
      <c r="F13" s="149">
        <f t="shared" si="5"/>
        <v>627.22529800000007</v>
      </c>
      <c r="G13" s="149">
        <f t="shared" si="5"/>
        <v>646.04205694000007</v>
      </c>
      <c r="H13" s="149">
        <f t="shared" si="5"/>
        <v>665.42331864820005</v>
      </c>
      <c r="I13" s="149">
        <f t="shared" si="5"/>
        <v>685.38601820764609</v>
      </c>
      <c r="J13" s="149">
        <f t="shared" si="5"/>
        <v>705.94759875387547</v>
      </c>
      <c r="K13" s="149">
        <f t="shared" si="5"/>
        <v>727.12602671649177</v>
      </c>
      <c r="L13" s="155" t="s">
        <v>386</v>
      </c>
    </row>
    <row r="14" spans="2:15" ht="18" customHeight="1" x14ac:dyDescent="0.2">
      <c r="B14" s="147" t="s">
        <v>387</v>
      </c>
      <c r="C14" s="148">
        <f>IFERROR('📊 Hist Data'!G10,0)</f>
        <v>22102</v>
      </c>
      <c r="D14" s="148">
        <f t="shared" ref="D14:K14" si="6">IFERROR(D10-D12+D13,0)</f>
        <v>24858.061435192449</v>
      </c>
      <c r="E14" s="148">
        <f t="shared" si="6"/>
        <v>26639.136112728338</v>
      </c>
      <c r="F14" s="149">
        <f t="shared" si="6"/>
        <v>27499.252473447388</v>
      </c>
      <c r="G14" s="149">
        <f t="shared" si="6"/>
        <v>28719.080937203391</v>
      </c>
      <c r="H14" s="149">
        <f t="shared" si="6"/>
        <v>30110.369077426312</v>
      </c>
      <c r="I14" s="149">
        <f t="shared" si="6"/>
        <v>31661.851648345306</v>
      </c>
      <c r="J14" s="149">
        <f t="shared" si="6"/>
        <v>33337.156136943333</v>
      </c>
      <c r="K14" s="149">
        <f t="shared" si="6"/>
        <v>35102.190098924169</v>
      </c>
    </row>
    <row r="15" spans="2:15" ht="18" customHeight="1" x14ac:dyDescent="0.2">
      <c r="B15" s="147" t="s">
        <v>388</v>
      </c>
      <c r="C15" s="148">
        <f>IFERROR('📊 Hist Data'!G12,0)</f>
        <v>5450</v>
      </c>
      <c r="D15" s="148">
        <f>MAX(0,'🔑 Assumptions'!$C$15*D14)</f>
        <v>6137.2710071107513</v>
      </c>
      <c r="E15" s="148">
        <f>MAX(0,'🔑 Assumptions'!$C$15*E14)</f>
        <v>6577.0051355518708</v>
      </c>
      <c r="F15" s="149">
        <f>MAX(0,'🔑 Assumptions'!$C$15*F14)</f>
        <v>6789.3614859110867</v>
      </c>
      <c r="G15" s="149">
        <f>MAX(0,'🔑 Assumptions'!$C$15*G14)</f>
        <v>7090.5280866846842</v>
      </c>
      <c r="H15" s="149">
        <f>MAX(0,'🔑 Assumptions'!$C$15*H14)</f>
        <v>7434.0268099374398</v>
      </c>
      <c r="I15" s="149">
        <f>MAX(0,'🔑 Assumptions'!$C$15*I14)</f>
        <v>7817.0763500378735</v>
      </c>
      <c r="J15" s="149">
        <f>MAX(0,'🔑 Assumptions'!$C$15*J14)</f>
        <v>8230.6966032809069</v>
      </c>
      <c r="K15" s="149">
        <f>MAX(0,'🔑 Assumptions'!$C$15*K14)</f>
        <v>8666.4703980183695</v>
      </c>
    </row>
    <row r="16" spans="2:15" ht="18" customHeight="1" x14ac:dyDescent="0.2">
      <c r="B16" s="147" t="s">
        <v>389</v>
      </c>
      <c r="C16" s="150">
        <f>IFERROR('📊 Hist Data'!G13,0)</f>
        <v>0.24658401954574247</v>
      </c>
      <c r="D16" s="150">
        <f t="shared" ref="D16:K16" si="7">IFERROR(D15/D14,0)</f>
        <v>0.24689258344264917</v>
      </c>
      <c r="E16" s="150">
        <f t="shared" si="7"/>
        <v>0.24689258344264919</v>
      </c>
      <c r="F16" s="152">
        <f t="shared" si="7"/>
        <v>0.24689258344264919</v>
      </c>
      <c r="G16" s="152">
        <f t="shared" si="7"/>
        <v>0.24689258344264919</v>
      </c>
      <c r="H16" s="152">
        <f t="shared" si="7"/>
        <v>0.24689258344264919</v>
      </c>
      <c r="I16" s="152">
        <f t="shared" si="7"/>
        <v>0.24689258344264919</v>
      </c>
      <c r="J16" s="152">
        <f t="shared" si="7"/>
        <v>0.24689258344264919</v>
      </c>
      <c r="K16" s="152">
        <f t="shared" si="7"/>
        <v>0.24689258344264919</v>
      </c>
    </row>
    <row r="17" spans="1:19" ht="18" customHeight="1" x14ac:dyDescent="0.2">
      <c r="B17" s="147" t="s">
        <v>390</v>
      </c>
      <c r="C17" s="148">
        <f>IFERROR('📊 Hist Data'!G14,0)</f>
        <v>16642</v>
      </c>
      <c r="D17" s="148">
        <f t="shared" ref="D17:K17" si="8">IFERROR(D14-D15,0)</f>
        <v>18720.790428081698</v>
      </c>
      <c r="E17" s="148">
        <f t="shared" si="8"/>
        <v>20062.130977176468</v>
      </c>
      <c r="F17" s="149">
        <f t="shared" si="8"/>
        <v>20709.890987536302</v>
      </c>
      <c r="G17" s="149">
        <f t="shared" si="8"/>
        <v>21628.552850518707</v>
      </c>
      <c r="H17" s="149">
        <f t="shared" si="8"/>
        <v>22676.342267488872</v>
      </c>
      <c r="I17" s="149">
        <f t="shared" si="8"/>
        <v>23844.775298307432</v>
      </c>
      <c r="J17" s="149">
        <f t="shared" si="8"/>
        <v>25106.459533662426</v>
      </c>
      <c r="K17" s="149">
        <f t="shared" si="8"/>
        <v>26435.7197009058</v>
      </c>
    </row>
    <row r="18" spans="1:19" ht="18" customHeight="1" x14ac:dyDescent="0.2">
      <c r="B18" s="33" t="s">
        <v>171</v>
      </c>
      <c r="C18" s="150">
        <f>IFERROR('📊 Hist Data'!G20,0)</f>
        <v>0.12779690189328743</v>
      </c>
      <c r="D18" s="150">
        <f t="shared" ref="D18:K18" si="9">D20/D5</f>
        <v>0.13429804990545519</v>
      </c>
      <c r="E18" s="150">
        <f t="shared" si="9"/>
        <v>0.13290433793025369</v>
      </c>
      <c r="F18" s="152">
        <f t="shared" si="9"/>
        <v>0.13128633358182382</v>
      </c>
      <c r="G18" s="152">
        <f t="shared" si="9"/>
        <v>0.13095472578630329</v>
      </c>
      <c r="H18" s="152">
        <f t="shared" si="9"/>
        <v>0.13073574336119048</v>
      </c>
      <c r="I18" s="152">
        <f t="shared" si="9"/>
        <v>0.13054299179664045</v>
      </c>
      <c r="J18" s="152">
        <f t="shared" si="9"/>
        <v>0.13033231839514814</v>
      </c>
      <c r="K18" s="152">
        <f t="shared" si="9"/>
        <v>0.13007864579036446</v>
      </c>
    </row>
    <row r="19" spans="1:19" ht="18" customHeight="1" x14ac:dyDescent="0.2">
      <c r="B19" s="154" t="s">
        <v>391</v>
      </c>
      <c r="C19" s="148">
        <f>IFERROR(ABS('📊 Hist Data'!G15),0)</f>
        <v>10</v>
      </c>
      <c r="D19" s="148">
        <f t="shared" ref="D19:K19" si="10">IFERROR(C19*1.05,0)</f>
        <v>10.5</v>
      </c>
      <c r="E19" s="148">
        <f t="shared" si="10"/>
        <v>11.025</v>
      </c>
      <c r="F19" s="149">
        <f t="shared" si="10"/>
        <v>11.576250000000002</v>
      </c>
      <c r="G19" s="149">
        <f t="shared" si="10"/>
        <v>12.155062500000001</v>
      </c>
      <c r="H19" s="149">
        <f t="shared" si="10"/>
        <v>12.762815625000002</v>
      </c>
      <c r="I19" s="149">
        <f t="shared" si="10"/>
        <v>13.400956406250003</v>
      </c>
      <c r="J19" s="149">
        <f t="shared" si="10"/>
        <v>14.071004226562504</v>
      </c>
      <c r="K19" s="149">
        <f t="shared" si="10"/>
        <v>14.774554437890631</v>
      </c>
    </row>
    <row r="20" spans="1:19" ht="18" customHeight="1" x14ac:dyDescent="0.2">
      <c r="B20" s="147" t="s">
        <v>392</v>
      </c>
      <c r="C20" s="148">
        <f>IFERROR('📊 Hist Data'!G16,0)</f>
        <v>16632</v>
      </c>
      <c r="D20" s="148">
        <f t="shared" ref="D20:K20" si="11">IFERROR(D17-D19,0)</f>
        <v>18710.290428081698</v>
      </c>
      <c r="E20" s="148">
        <f t="shared" si="11"/>
        <v>20051.105977176467</v>
      </c>
      <c r="F20" s="149">
        <f t="shared" si="11"/>
        <v>20698.314737536304</v>
      </c>
      <c r="G20" s="149">
        <f t="shared" si="11"/>
        <v>21616.397788018705</v>
      </c>
      <c r="H20" s="149">
        <f t="shared" si="11"/>
        <v>22663.579451863872</v>
      </c>
      <c r="I20" s="149">
        <f t="shared" si="11"/>
        <v>23831.374341901181</v>
      </c>
      <c r="J20" s="149">
        <f t="shared" si="11"/>
        <v>25092.388529435862</v>
      </c>
      <c r="K20" s="149">
        <f t="shared" si="11"/>
        <v>26420.945146467908</v>
      </c>
    </row>
    <row r="21" spans="1:19" ht="18" customHeight="1" x14ac:dyDescent="0.2"/>
    <row r="22" spans="1:19" ht="18" customHeight="1" x14ac:dyDescent="0.2"/>
    <row r="23" spans="1:19" ht="19.5" customHeight="1" x14ac:dyDescent="0.2">
      <c r="B23" s="224" t="s">
        <v>393</v>
      </c>
      <c r="C23" s="224"/>
      <c r="D23" s="224"/>
      <c r="E23" s="224"/>
      <c r="F23" s="224"/>
      <c r="G23" s="224"/>
      <c r="H23" s="224"/>
      <c r="I23" s="224"/>
      <c r="J23" s="224"/>
      <c r="K23" s="224"/>
    </row>
    <row r="24" spans="1:19" ht="18" customHeight="1" x14ac:dyDescent="0.2">
      <c r="B24" s="28" t="s">
        <v>376</v>
      </c>
      <c r="C24" s="145" t="s">
        <v>377</v>
      </c>
      <c r="D24" s="28" t="s">
        <v>286</v>
      </c>
      <c r="E24" s="28" t="s">
        <v>287</v>
      </c>
      <c r="F24" s="146" t="s">
        <v>288</v>
      </c>
      <c r="G24" s="146" t="s">
        <v>289</v>
      </c>
      <c r="H24" s="146" t="s">
        <v>290</v>
      </c>
      <c r="I24" s="146" t="s">
        <v>291</v>
      </c>
      <c r="J24" s="146" t="s">
        <v>292</v>
      </c>
      <c r="K24" s="146" t="s">
        <v>293</v>
      </c>
    </row>
    <row r="25" spans="1:19" ht="18" customHeight="1" x14ac:dyDescent="0.2">
      <c r="B25" s="147" t="s">
        <v>394</v>
      </c>
      <c r="C25" s="148">
        <f t="shared" ref="C25:K25" si="12">C5</f>
        <v>130144</v>
      </c>
      <c r="D25" s="148">
        <f t="shared" si="12"/>
        <v>139319.152</v>
      </c>
      <c r="E25" s="148">
        <f t="shared" si="12"/>
        <v>150868.70970080001</v>
      </c>
      <c r="F25" s="149">
        <f t="shared" si="12"/>
        <v>157657.801637336</v>
      </c>
      <c r="G25" s="149">
        <f t="shared" si="12"/>
        <v>165067.71831429077</v>
      </c>
      <c r="H25" s="149">
        <f t="shared" si="12"/>
        <v>173354.11777366817</v>
      </c>
      <c r="I25" s="149">
        <f t="shared" si="12"/>
        <v>182555.75434509449</v>
      </c>
      <c r="J25" s="149">
        <f t="shared" si="12"/>
        <v>192526.21942440618</v>
      </c>
      <c r="K25" s="149">
        <f t="shared" si="12"/>
        <v>203115.16149274851</v>
      </c>
    </row>
    <row r="26" spans="1:19" ht="19.5" customHeight="1" x14ac:dyDescent="0.2">
      <c r="B26" s="156" t="s">
        <v>395</v>
      </c>
      <c r="C26" s="150">
        <f>IFERROR(('📊 Hist Data'!G44+'📊 Hist Data'!G43-'📊 Hist Data'!G34-'📊 Hist Data'!G35)/'📊 Hist Data'!G5,0)</f>
        <v>0.12384743053848045</v>
      </c>
      <c r="D26" s="150">
        <f>IFERROR('🔑 Assumptions'!D36,0)</f>
        <v>0.15784435515739242</v>
      </c>
      <c r="E26" s="150">
        <f>IFERROR('🔑 Assumptions'!E36,0)</f>
        <v>0.15784435515739242</v>
      </c>
      <c r="F26" s="150">
        <f>IFERROR('🔑 Assumptions'!F36,0)</f>
        <v>0.15784435515739242</v>
      </c>
      <c r="G26" s="150">
        <f>IFERROR('🔑 Assumptions'!G36,0)</f>
        <v>0.15784435515739242</v>
      </c>
      <c r="H26" s="150">
        <f>IFERROR('🔑 Assumptions'!H36,0)</f>
        <v>0.15784435515739242</v>
      </c>
      <c r="I26" s="150">
        <f>IFERROR('🔑 Assumptions'!I36,0)</f>
        <v>0.15784435515739242</v>
      </c>
      <c r="J26" s="150">
        <f>IFERROR('🔑 Assumptions'!J36,0)</f>
        <v>0.15784435515739242</v>
      </c>
      <c r="K26" s="150">
        <f>IFERROR('🔑 Assumptions'!K36,0)</f>
        <v>0.15784435515739242</v>
      </c>
    </row>
    <row r="27" spans="1:19" ht="21.75" customHeight="1" x14ac:dyDescent="0.2">
      <c r="B27" s="44" t="s">
        <v>396</v>
      </c>
      <c r="C27" s="157">
        <f>IFERROR('📊 Hist Data'!G44+'📊 Hist Data'!G43-'📊 Hist Data'!G34-'📊 Hist Data'!G35,0)</f>
        <v>16118</v>
      </c>
      <c r="D27" s="157">
        <f t="shared" ref="D27:K27" si="13">IFERROR(D26*D25,0)</f>
        <v>21990.741708514739</v>
      </c>
      <c r="E27" s="157">
        <f t="shared" si="13"/>
        <v>23813.774196150614</v>
      </c>
      <c r="F27" s="157">
        <f t="shared" si="13"/>
        <v>24885.394034977387</v>
      </c>
      <c r="G27" s="157">
        <f t="shared" si="13"/>
        <v>26055.007554621323</v>
      </c>
      <c r="H27" s="157">
        <f t="shared" si="13"/>
        <v>27362.968933863314</v>
      </c>
      <c r="I27" s="157">
        <f t="shared" si="13"/>
        <v>28815.395324872781</v>
      </c>
      <c r="J27" s="157">
        <f t="shared" si="13"/>
        <v>30389.176955936033</v>
      </c>
      <c r="K27" s="157">
        <f t="shared" si="13"/>
        <v>32060.581688512513</v>
      </c>
    </row>
    <row r="28" spans="1:19" ht="3.75" customHeight="1" x14ac:dyDescent="0.2">
      <c r="A28" s="75"/>
      <c r="B28" s="147"/>
      <c r="C28" s="158"/>
      <c r="D28" s="158"/>
      <c r="E28" s="158"/>
      <c r="F28" s="158"/>
      <c r="G28" s="158"/>
      <c r="H28" s="158"/>
      <c r="I28" s="158"/>
      <c r="J28" s="158"/>
      <c r="K28" s="158"/>
      <c r="L28" s="75"/>
      <c r="M28" s="75"/>
      <c r="N28" s="75"/>
      <c r="O28" s="75"/>
      <c r="P28" s="75"/>
      <c r="Q28" s="75"/>
      <c r="R28" s="75"/>
      <c r="S28" s="75"/>
    </row>
    <row r="29" spans="1:19" ht="3.75" customHeight="1" x14ac:dyDescent="0.2">
      <c r="A29" s="75"/>
      <c r="B29" s="147"/>
      <c r="C29" s="158"/>
      <c r="D29" s="158"/>
      <c r="E29" s="158"/>
      <c r="F29" s="158"/>
      <c r="G29" s="158"/>
      <c r="H29" s="158"/>
      <c r="I29" s="158"/>
      <c r="J29" s="158"/>
      <c r="K29" s="158"/>
      <c r="L29" s="33"/>
      <c r="M29" s="75"/>
      <c r="N29" s="75"/>
      <c r="O29" s="75"/>
      <c r="P29" s="75"/>
      <c r="Q29" s="75"/>
      <c r="R29" s="75"/>
      <c r="S29" s="75"/>
    </row>
    <row r="30" spans="1:19" ht="3.75" customHeight="1" x14ac:dyDescent="0.2">
      <c r="A30" s="75"/>
      <c r="B30" s="147"/>
      <c r="C30" s="158"/>
      <c r="D30" s="158"/>
      <c r="E30" s="158"/>
      <c r="F30" s="158"/>
      <c r="G30" s="158"/>
      <c r="H30" s="158"/>
      <c r="I30" s="158"/>
      <c r="J30" s="158"/>
      <c r="K30" s="158"/>
      <c r="L30" s="75"/>
      <c r="M30" s="75"/>
      <c r="N30" s="75"/>
      <c r="O30" s="75"/>
      <c r="P30" s="75"/>
      <c r="Q30" s="75"/>
      <c r="R30" s="75"/>
      <c r="S30" s="75"/>
    </row>
    <row r="31" spans="1:19" ht="3.75" customHeight="1" x14ac:dyDescent="0.2">
      <c r="A31" s="75"/>
      <c r="B31" s="147"/>
      <c r="C31" s="158"/>
      <c r="D31" s="158"/>
      <c r="E31" s="158"/>
      <c r="F31" s="158"/>
      <c r="G31" s="158"/>
      <c r="H31" s="158"/>
      <c r="I31" s="158"/>
      <c r="J31" s="158"/>
      <c r="K31" s="158"/>
      <c r="L31" s="75"/>
      <c r="M31" s="75"/>
      <c r="N31" s="75"/>
      <c r="O31" s="75"/>
      <c r="P31" s="75"/>
      <c r="Q31" s="75"/>
      <c r="R31" s="75"/>
      <c r="S31" s="75"/>
    </row>
    <row r="32" spans="1:19" ht="3.75" customHeight="1" x14ac:dyDescent="0.2">
      <c r="A32" s="75"/>
      <c r="B32" s="147"/>
      <c r="C32" s="158"/>
      <c r="D32" s="158"/>
      <c r="E32" s="158"/>
      <c r="F32" s="158"/>
      <c r="G32" s="158"/>
      <c r="H32" s="158"/>
      <c r="I32" s="158"/>
      <c r="J32" s="158"/>
      <c r="K32" s="158"/>
      <c r="L32" s="33"/>
      <c r="M32" s="75"/>
      <c r="N32" s="75"/>
      <c r="O32" s="75"/>
      <c r="P32" s="75"/>
      <c r="Q32" s="75"/>
      <c r="R32" s="75"/>
      <c r="S32" s="75"/>
    </row>
    <row r="33" spans="1:19" ht="3.75" customHeight="1" x14ac:dyDescent="0.2">
      <c r="A33" s="75"/>
      <c r="B33" s="147"/>
      <c r="C33" s="158"/>
      <c r="D33" s="158"/>
      <c r="E33" s="158"/>
      <c r="F33" s="158"/>
      <c r="G33" s="158"/>
      <c r="H33" s="158"/>
      <c r="I33" s="158"/>
      <c r="J33" s="158"/>
      <c r="K33" s="158"/>
      <c r="L33" s="122"/>
      <c r="M33" s="75"/>
      <c r="N33" s="75"/>
      <c r="O33" s="75"/>
      <c r="P33" s="75"/>
      <c r="Q33" s="75"/>
      <c r="R33" s="75"/>
      <c r="S33" s="75"/>
    </row>
    <row r="34" spans="1:19" ht="21.75" customHeight="1" x14ac:dyDescent="0.2">
      <c r="B34" s="27" t="s">
        <v>397</v>
      </c>
      <c r="C34" s="159" t="s">
        <v>173</v>
      </c>
      <c r="D34" s="157">
        <f t="shared" ref="D34:K34" si="14">IFERROR(D26*(D25-C25),0)</f>
        <v>1448.2459509110597</v>
      </c>
      <c r="E34" s="157">
        <f t="shared" si="14"/>
        <v>1823.0324876358736</v>
      </c>
      <c r="F34" s="157">
        <f t="shared" si="14"/>
        <v>1071.6198388267755</v>
      </c>
      <c r="G34" s="157">
        <f t="shared" si="14"/>
        <v>1169.6135196439343</v>
      </c>
      <c r="H34" s="157">
        <f t="shared" si="14"/>
        <v>1307.9613792419905</v>
      </c>
      <c r="I34" s="157">
        <f t="shared" si="14"/>
        <v>1452.4263910094674</v>
      </c>
      <c r="J34" s="157">
        <f t="shared" si="14"/>
        <v>1573.7816310632531</v>
      </c>
      <c r="K34" s="157">
        <f t="shared" si="14"/>
        <v>1671.4047325764791</v>
      </c>
      <c r="L34" s="160" t="s">
        <v>398</v>
      </c>
    </row>
    <row r="35" spans="1:19" ht="3.75" customHeight="1" x14ac:dyDescent="0.2">
      <c r="A35" s="75"/>
      <c r="B35" s="33"/>
      <c r="C35" s="161"/>
      <c r="D35" s="161"/>
      <c r="E35" s="161"/>
      <c r="F35" s="161"/>
      <c r="G35" s="161"/>
      <c r="H35" s="161"/>
      <c r="I35" s="161"/>
      <c r="J35" s="161"/>
      <c r="K35" s="161"/>
      <c r="L35" s="75"/>
      <c r="M35" s="75"/>
      <c r="N35" s="75"/>
      <c r="O35" s="75"/>
      <c r="P35" s="75"/>
      <c r="Q35" s="75"/>
      <c r="R35" s="75"/>
      <c r="S35" s="75"/>
    </row>
  </sheetData>
  <mergeCells count="4">
    <mergeCell ref="B1:O1"/>
    <mergeCell ref="B2:O2"/>
    <mergeCell ref="B3:N3"/>
    <mergeCell ref="B23:K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48"/>
  <sheetViews>
    <sheetView showGridLines="0" tabSelected="1" zoomScaleNormal="100" workbookViewId="0">
      <selection activeCell="C50" sqref="C50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14" width="18" customWidth="1"/>
  </cols>
  <sheetData>
    <row r="1" spans="2:14" ht="27.75" customHeight="1" x14ac:dyDescent="0.2">
      <c r="B1" s="223" t="s">
        <v>399</v>
      </c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</row>
    <row r="2" spans="2:14" ht="18" customHeight="1" x14ac:dyDescent="0.2">
      <c r="C2" s="162"/>
      <c r="D2" s="162"/>
      <c r="E2" s="162"/>
      <c r="F2" s="162"/>
      <c r="G2" s="162"/>
      <c r="H2" s="162"/>
      <c r="I2" s="162"/>
      <c r="J2" s="162"/>
      <c r="K2" s="162"/>
    </row>
    <row r="3" spans="2:14" ht="21.75" customHeight="1" x14ac:dyDescent="0.2">
      <c r="B3" s="12" t="s">
        <v>400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14" ht="19.5" customHeight="1" x14ac:dyDescent="0.2">
      <c r="B4" s="147" t="s">
        <v>376</v>
      </c>
      <c r="C4" s="163"/>
      <c r="D4" s="164" t="s">
        <v>286</v>
      </c>
      <c r="E4" s="164" t="s">
        <v>287</v>
      </c>
      <c r="F4" s="165" t="s">
        <v>288</v>
      </c>
      <c r="G4" s="165" t="s">
        <v>289</v>
      </c>
      <c r="H4" s="165" t="s">
        <v>290</v>
      </c>
      <c r="I4" s="165" t="s">
        <v>291</v>
      </c>
      <c r="J4" s="165" t="s">
        <v>292</v>
      </c>
      <c r="K4" s="165" t="s">
        <v>293</v>
      </c>
    </row>
    <row r="5" spans="2:14" ht="18" customHeight="1" x14ac:dyDescent="0.2">
      <c r="B5" s="147" t="s">
        <v>169</v>
      </c>
      <c r="C5" s="163"/>
      <c r="D5" s="158">
        <f>IFERROR('📈 Projections'!D10,0)</f>
        <v>25135.841435192448</v>
      </c>
      <c r="E5" s="158">
        <f>IFERROR('📈 Projections'!E10,0)</f>
        <v>26899.179512728337</v>
      </c>
      <c r="F5" s="158">
        <f>IFERROR('📈 Projections'!F10,0)</f>
        <v>27741.027175447387</v>
      </c>
      <c r="G5" s="158">
        <f>IFERROR('📈 Projections'!G10,0)</f>
        <v>28942.03888026339</v>
      </c>
      <c r="H5" s="158">
        <f>IFERROR('📈 Projections'!H10,0)</f>
        <v>30313.945758778111</v>
      </c>
      <c r="I5" s="158">
        <f>IFERROR('📈 Projections'!I10,0)</f>
        <v>31845.46563013766</v>
      </c>
      <c r="J5" s="158">
        <f>IFERROR('📈 Projections'!J10,0)</f>
        <v>33500.208538189458</v>
      </c>
      <c r="K5" s="158">
        <f>IFERROR('📈 Projections'!K10,0)</f>
        <v>35244.064072207679</v>
      </c>
    </row>
    <row r="6" spans="2:14" ht="18" customHeight="1" x14ac:dyDescent="0.2">
      <c r="B6" s="147" t="s">
        <v>401</v>
      </c>
      <c r="C6" s="163"/>
      <c r="D6" s="158">
        <f>IFERROR(D5*'🔑 Assumptions'!$C$15,0)</f>
        <v>6205.8528289394508</v>
      </c>
      <c r="E6" s="158">
        <f>IFERROR(E5*'🔑 Assumptions'!$C$15,0)</f>
        <v>6641.2079223850806</v>
      </c>
      <c r="F6" s="158">
        <f>IFERROR(F5*'🔑 Assumptions'!$C$15,0)</f>
        <v>6849.0538666989432</v>
      </c>
      <c r="G6" s="158">
        <f>IFERROR(G5*'🔑 Assumptions'!$C$15,0)</f>
        <v>7145.5747492458258</v>
      </c>
      <c r="H6" s="158">
        <f>IFERROR(H5*'🔑 Assumptions'!$C$15,0)</f>
        <v>7484.2883827250662</v>
      </c>
      <c r="I6" s="158">
        <f>IFERROR(I5*'🔑 Assumptions'!$C$15,0)</f>
        <v>7862.4092803587791</v>
      </c>
      <c r="J6" s="158">
        <f>IFERROR(J5*'🔑 Assumptions'!$C$15,0)</f>
        <v>8270.9530318610905</v>
      </c>
      <c r="K6" s="158">
        <f>IFERROR(K5*'🔑 Assumptions'!$C$15,0)</f>
        <v>8701.4980298056089</v>
      </c>
    </row>
    <row r="7" spans="2:14" ht="18" customHeight="1" x14ac:dyDescent="0.2">
      <c r="B7" s="147" t="s">
        <v>402</v>
      </c>
      <c r="C7" s="163"/>
      <c r="D7" s="158">
        <f t="shared" ref="D7:K7" si="0">IFERROR(D5-D6,0)</f>
        <v>18929.988606252999</v>
      </c>
      <c r="E7" s="158">
        <f t="shared" si="0"/>
        <v>20257.971590343255</v>
      </c>
      <c r="F7" s="158">
        <f t="shared" si="0"/>
        <v>20891.973308748442</v>
      </c>
      <c r="G7" s="158">
        <f t="shared" si="0"/>
        <v>21796.464131017565</v>
      </c>
      <c r="H7" s="158">
        <f t="shared" si="0"/>
        <v>22829.657376053045</v>
      </c>
      <c r="I7" s="158">
        <f t="shared" si="0"/>
        <v>23983.056349778883</v>
      </c>
      <c r="J7" s="158">
        <f t="shared" si="0"/>
        <v>25229.255506328365</v>
      </c>
      <c r="K7" s="158">
        <f t="shared" si="0"/>
        <v>26542.566042402068</v>
      </c>
    </row>
    <row r="8" spans="2:14" ht="18" customHeight="1" x14ac:dyDescent="0.2">
      <c r="B8" s="147" t="s">
        <v>403</v>
      </c>
      <c r="C8" s="163"/>
      <c r="D8" s="158">
        <f>IFERROR('📈 Projections'!D9,0)</f>
        <v>4664.525177607552</v>
      </c>
      <c r="E8" s="158">
        <f>IFERROR('📈 Projections'!E9,0)</f>
        <v>4858.6838792900635</v>
      </c>
      <c r="F8" s="158">
        <f>IFERROR('📈 Projections'!F9,0)</f>
        <v>5177.9218064283696</v>
      </c>
      <c r="G8" s="158">
        <f>IFERROR('📈 Projections'!G9,0)</f>
        <v>5337.0239563376581</v>
      </c>
      <c r="H8" s="158">
        <f>IFERROR('📈 Projections'!H9,0)</f>
        <v>5538.5750321126943</v>
      </c>
      <c r="I8" s="158">
        <f>IFERROR('📈 Projections'!I9,0)</f>
        <v>5785.9690513789601</v>
      </c>
      <c r="J8" s="158">
        <f>IFERROR('📈 Projections'!J9,0)</f>
        <v>6077.4063888857218</v>
      </c>
      <c r="K8" s="158">
        <f>IFERROR('📈 Projections'!K9,0)</f>
        <v>6411.6637402744363</v>
      </c>
    </row>
    <row r="9" spans="2:14" ht="18" customHeight="1" x14ac:dyDescent="0.2">
      <c r="B9" s="147" t="s">
        <v>404</v>
      </c>
      <c r="C9" s="163"/>
      <c r="D9" s="158">
        <f>'🔑 Assumptions'!D30</f>
        <v>3752.0202521992792</v>
      </c>
      <c r="E9" s="158">
        <f>'🔑 Assumptions'!E30</f>
        <v>3827.7448628940306</v>
      </c>
      <c r="F9" s="158">
        <f>'🔑 Assumptions'!F30</f>
        <v>3437.1154089656102</v>
      </c>
      <c r="G9" s="158">
        <f>'🔑 Assumptions'!G30</f>
        <v>3598.6598331869936</v>
      </c>
      <c r="H9" s="158">
        <f>'🔑 Assumptions'!H30</f>
        <v>3779.3125568129803</v>
      </c>
      <c r="I9" s="158">
        <f>'🔑 Assumptions'!I30</f>
        <v>3979.918467328614</v>
      </c>
      <c r="J9" s="158">
        <f>'🔑 Assumptions'!J30</f>
        <v>4197.2856943402339</v>
      </c>
      <c r="K9" s="158">
        <f>'🔑 Assumptions'!K30</f>
        <v>4428.1364075289457</v>
      </c>
    </row>
    <row r="10" spans="2:14" ht="18" customHeight="1" x14ac:dyDescent="0.2">
      <c r="B10" s="147" t="s">
        <v>405</v>
      </c>
      <c r="C10" s="163"/>
      <c r="D10" s="158">
        <f>IFERROR('📈 Projections'!D34,0)</f>
        <v>1448.2459509110597</v>
      </c>
      <c r="E10" s="158">
        <f>IFERROR('📈 Projections'!E34,0)</f>
        <v>1823.0324876358736</v>
      </c>
      <c r="F10" s="158">
        <f>IFERROR('📈 Projections'!F34,0)</f>
        <v>1071.6198388267755</v>
      </c>
      <c r="G10" s="158">
        <f>IFERROR('📈 Projections'!G34,0)</f>
        <v>1169.6135196439343</v>
      </c>
      <c r="H10" s="158">
        <f>IFERROR('📈 Projections'!H34,0)</f>
        <v>1307.9613792419905</v>
      </c>
      <c r="I10" s="158">
        <f>IFERROR('📈 Projections'!I34,0)</f>
        <v>1452.4263910094674</v>
      </c>
      <c r="J10" s="158">
        <f>IFERROR('📈 Projections'!J34,0)</f>
        <v>1573.7816310632531</v>
      </c>
      <c r="K10" s="158">
        <f>IFERROR('📈 Projections'!K34,0)</f>
        <v>1671.4047325764791</v>
      </c>
    </row>
    <row r="11" spans="2:14" ht="21.75" customHeight="1" x14ac:dyDescent="0.2">
      <c r="B11" s="166" t="s">
        <v>406</v>
      </c>
      <c r="C11" s="163"/>
      <c r="D11" s="158">
        <f t="shared" ref="D11:K11" si="1">IFERROR(D7+D8-D9-D10,0)</f>
        <v>18394.247580750212</v>
      </c>
      <c r="E11" s="158">
        <f t="shared" si="1"/>
        <v>19465.878119103414</v>
      </c>
      <c r="F11" s="158">
        <f t="shared" si="1"/>
        <v>21561.159867384424</v>
      </c>
      <c r="G11" s="158">
        <f t="shared" si="1"/>
        <v>22365.214734524296</v>
      </c>
      <c r="H11" s="158">
        <f t="shared" si="1"/>
        <v>23280.958472110768</v>
      </c>
      <c r="I11" s="158">
        <f t="shared" si="1"/>
        <v>24336.680542819762</v>
      </c>
      <c r="J11" s="158">
        <f t="shared" si="1"/>
        <v>25535.594569810601</v>
      </c>
      <c r="K11" s="158">
        <f t="shared" si="1"/>
        <v>26854.68864257108</v>
      </c>
    </row>
    <row r="12" spans="2:14" ht="18" customHeight="1" x14ac:dyDescent="0.2">
      <c r="B12" s="147" t="s">
        <v>407</v>
      </c>
      <c r="C12" s="163"/>
      <c r="D12" s="167" t="s">
        <v>173</v>
      </c>
      <c r="E12" s="168">
        <f t="shared" ref="E12:K12" si="2">IFERROR((E11-D11)/D11,0)</f>
        <v>5.825900372650606E-2</v>
      </c>
      <c r="F12" s="168">
        <f t="shared" si="2"/>
        <v>0.10763869656744347</v>
      </c>
      <c r="G12" s="168">
        <f t="shared" si="2"/>
        <v>3.7291818811480831E-2</v>
      </c>
      <c r="H12" s="168">
        <f t="shared" si="2"/>
        <v>4.0945000906826734E-2</v>
      </c>
      <c r="I12" s="168">
        <f t="shared" si="2"/>
        <v>4.5347019194836337E-2</v>
      </c>
      <c r="J12" s="168">
        <f t="shared" si="2"/>
        <v>4.9263662925655788E-2</v>
      </c>
      <c r="K12" s="168">
        <f t="shared" si="2"/>
        <v>5.1657072998800478E-2</v>
      </c>
    </row>
    <row r="13" spans="2:14" ht="18" customHeight="1" x14ac:dyDescent="0.2">
      <c r="C13" s="162"/>
      <c r="D13" s="162"/>
      <c r="E13" s="162"/>
      <c r="F13" s="162"/>
      <c r="G13" s="162"/>
      <c r="H13" s="162"/>
      <c r="I13" s="162"/>
      <c r="J13" s="162"/>
      <c r="K13" s="162"/>
    </row>
    <row r="14" spans="2:14" ht="21.75" customHeight="1" x14ac:dyDescent="0.2">
      <c r="B14" s="12" t="s">
        <v>408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2:14" ht="19.5" customHeight="1" x14ac:dyDescent="0.2">
      <c r="B15" s="147" t="s">
        <v>376</v>
      </c>
      <c r="C15" s="163"/>
      <c r="D15" s="164" t="s">
        <v>286</v>
      </c>
      <c r="E15" s="164" t="s">
        <v>287</v>
      </c>
      <c r="F15" s="165" t="s">
        <v>288</v>
      </c>
      <c r="G15" s="165" t="s">
        <v>289</v>
      </c>
      <c r="H15" s="165" t="s">
        <v>290</v>
      </c>
      <c r="I15" s="165" t="s">
        <v>291</v>
      </c>
      <c r="J15" s="165" t="s">
        <v>292</v>
      </c>
      <c r="K15" s="165" t="s">
        <v>293</v>
      </c>
    </row>
    <row r="16" spans="2:14" ht="18" customHeight="1" x14ac:dyDescent="0.2">
      <c r="B16" s="147" t="s">
        <v>409</v>
      </c>
      <c r="C16" s="163"/>
      <c r="D16" s="169">
        <v>1</v>
      </c>
      <c r="E16" s="169">
        <v>2</v>
      </c>
      <c r="F16" s="169">
        <v>3</v>
      </c>
      <c r="G16" s="169">
        <v>4</v>
      </c>
      <c r="H16" s="169">
        <v>5</v>
      </c>
      <c r="I16" s="169">
        <v>6</v>
      </c>
      <c r="J16" s="169">
        <v>7</v>
      </c>
      <c r="K16" s="169">
        <v>8</v>
      </c>
    </row>
    <row r="17" spans="2:13" ht="18" customHeight="1" x14ac:dyDescent="0.2">
      <c r="B17" s="147" t="s">
        <v>410</v>
      </c>
      <c r="C17" s="163"/>
      <c r="D17" s="168">
        <f>'🔑 Assumptions'!$C$75</f>
        <v>0.13726688229865294</v>
      </c>
      <c r="E17" s="168">
        <f>'🔑 Assumptions'!$C$75</f>
        <v>0.13726688229865294</v>
      </c>
      <c r="F17" s="168">
        <f>'🔑 Assumptions'!$C$75</f>
        <v>0.13726688229865294</v>
      </c>
      <c r="G17" s="168">
        <f>'🔑 Assumptions'!$C$75</f>
        <v>0.13726688229865294</v>
      </c>
      <c r="H17" s="168">
        <f>'🔑 Assumptions'!$C$75</f>
        <v>0.13726688229865294</v>
      </c>
      <c r="I17" s="168">
        <f>'🔑 Assumptions'!$C$75</f>
        <v>0.13726688229865294</v>
      </c>
      <c r="J17" s="168">
        <f>'🔑 Assumptions'!$C$75</f>
        <v>0.13726688229865294</v>
      </c>
      <c r="K17" s="168">
        <f>'🔑 Assumptions'!$C$75</f>
        <v>0.13726688229865294</v>
      </c>
    </row>
    <row r="18" spans="2:13" ht="18" customHeight="1" x14ac:dyDescent="0.2">
      <c r="B18" s="147" t="s">
        <v>411</v>
      </c>
      <c r="C18" s="163"/>
      <c r="D18" s="170">
        <f t="shared" ref="D18:K18" si="3">IFERROR(1/(1+D17)^D16,0)</f>
        <v>0.87930108188747391</v>
      </c>
      <c r="E18" s="170">
        <f t="shared" si="3"/>
        <v>0.77317039260848219</v>
      </c>
      <c r="F18" s="170">
        <f t="shared" si="3"/>
        <v>0.67984956270400132</v>
      </c>
      <c r="G18" s="170">
        <f t="shared" si="3"/>
        <v>0.59779245600635444</v>
      </c>
      <c r="H18" s="170">
        <f t="shared" si="3"/>
        <v>0.52563955331055767</v>
      </c>
      <c r="I18" s="170">
        <f t="shared" si="3"/>
        <v>0.46219542790882195</v>
      </c>
      <c r="J18" s="170">
        <f t="shared" si="3"/>
        <v>0.40640893980367104</v>
      </c>
      <c r="K18" s="170">
        <f t="shared" si="3"/>
        <v>0.35735582045810921</v>
      </c>
    </row>
    <row r="19" spans="2:13" ht="19.5" customHeight="1" x14ac:dyDescent="0.2">
      <c r="B19" s="147" t="s">
        <v>412</v>
      </c>
      <c r="C19" s="163"/>
      <c r="D19" s="158">
        <f t="shared" ref="D19:K19" si="4">IFERROR(D11*D18,0)</f>
        <v>16174.081798259711</v>
      </c>
      <c r="E19" s="158">
        <f t="shared" si="4"/>
        <v>15050.44062781605</v>
      </c>
      <c r="F19" s="158">
        <f t="shared" si="4"/>
        <v>14658.345107232364</v>
      </c>
      <c r="G19" s="158">
        <f t="shared" si="4"/>
        <v>13369.756645260784</v>
      </c>
      <c r="H19" s="158">
        <f t="shared" si="4"/>
        <v>12237.392611921947</v>
      </c>
      <c r="I19" s="158">
        <f t="shared" si="4"/>
        <v>11248.302477368881</v>
      </c>
      <c r="J19" s="158">
        <f t="shared" si="4"/>
        <v>10377.893916373105</v>
      </c>
      <c r="K19" s="158">
        <f t="shared" si="4"/>
        <v>9596.6792930130559</v>
      </c>
    </row>
    <row r="20" spans="2:13" ht="18" customHeight="1" x14ac:dyDescent="0.2">
      <c r="C20" s="162"/>
      <c r="D20" s="162"/>
      <c r="E20" s="162"/>
      <c r="F20" s="162"/>
      <c r="G20" s="162"/>
      <c r="H20" s="162"/>
      <c r="I20" s="162"/>
      <c r="J20" s="162"/>
      <c r="K20" s="162"/>
    </row>
    <row r="21" spans="2:13" ht="21.75" customHeight="1" x14ac:dyDescent="0.2">
      <c r="B21" s="12" t="s">
        <v>413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2:13" ht="18" customHeight="1" x14ac:dyDescent="0.2">
      <c r="B22" s="147" t="s">
        <v>414</v>
      </c>
      <c r="C22" s="158">
        <f>IFERROR(K11,0)</f>
        <v>26854.68864257108</v>
      </c>
      <c r="D22" s="171"/>
      <c r="E22" s="171"/>
      <c r="F22" s="171"/>
      <c r="G22" s="171"/>
      <c r="H22" s="171"/>
      <c r="I22" s="171"/>
      <c r="J22" s="171"/>
      <c r="K22" s="171"/>
      <c r="L22" s="172"/>
      <c r="M22" s="172"/>
    </row>
    <row r="23" spans="2:13" ht="18" customHeight="1" x14ac:dyDescent="0.2">
      <c r="B23" s="147" t="s">
        <v>415</v>
      </c>
      <c r="C23" s="168">
        <f>'🔑 Assumptions'!$C$14</f>
        <v>5.5E-2</v>
      </c>
      <c r="D23" s="171"/>
      <c r="E23" s="171"/>
      <c r="F23" s="171"/>
      <c r="G23" s="171"/>
      <c r="H23" s="171"/>
      <c r="I23" s="171"/>
      <c r="J23" s="171"/>
      <c r="K23" s="171"/>
      <c r="L23" s="172"/>
      <c r="M23" s="172"/>
    </row>
    <row r="24" spans="2:13" ht="18" customHeight="1" x14ac:dyDescent="0.2">
      <c r="B24" s="147" t="s">
        <v>416</v>
      </c>
      <c r="C24" s="173">
        <f>'🔑 Assumptions'!C76</f>
        <v>0.1430796387126225</v>
      </c>
      <c r="D24" s="171"/>
      <c r="E24" s="171"/>
      <c r="F24" s="171"/>
      <c r="G24" s="171"/>
      <c r="H24" s="171"/>
      <c r="I24" s="171"/>
      <c r="J24" s="171"/>
      <c r="K24" s="171"/>
      <c r="L24" s="172"/>
      <c r="M24" s="172"/>
    </row>
    <row r="25" spans="2:13" ht="21.75" customHeight="1" x14ac:dyDescent="0.2">
      <c r="B25" s="147" t="s">
        <v>417</v>
      </c>
      <c r="C25" s="158">
        <f>IFERROR(C22*(1+C23),0)</f>
        <v>28331.696517912489</v>
      </c>
      <c r="D25" s="171"/>
      <c r="E25" s="171"/>
      <c r="F25" s="171"/>
      <c r="G25" s="171"/>
      <c r="H25" s="171"/>
      <c r="I25" s="171"/>
      <c r="J25" s="171"/>
      <c r="K25" s="171"/>
      <c r="L25" s="172"/>
      <c r="M25" s="172"/>
    </row>
    <row r="26" spans="2:13" ht="21.75" customHeight="1" x14ac:dyDescent="0.2">
      <c r="B26" s="166" t="s">
        <v>418</v>
      </c>
      <c r="C26" s="174">
        <f>IFERROR(C25/(C24-C23),0)</f>
        <v>321659.99920084066</v>
      </c>
      <c r="D26" s="171"/>
      <c r="E26" s="171"/>
      <c r="F26" s="171"/>
      <c r="G26" s="171"/>
      <c r="H26" s="171"/>
      <c r="I26" s="171"/>
      <c r="J26" s="171"/>
      <c r="K26" s="171"/>
      <c r="L26" s="172"/>
      <c r="M26" s="172"/>
    </row>
    <row r="27" spans="2:13" ht="18" customHeight="1" x14ac:dyDescent="0.2">
      <c r="B27" s="147" t="s">
        <v>419</v>
      </c>
      <c r="C27" s="175">
        <f>IFERROR(K18,0)</f>
        <v>0.35735582045810921</v>
      </c>
      <c r="D27" s="171"/>
      <c r="E27" s="171"/>
      <c r="F27" s="171"/>
      <c r="G27" s="171"/>
      <c r="H27" s="171"/>
      <c r="I27" s="171"/>
      <c r="J27" s="171"/>
      <c r="K27" s="171"/>
      <c r="L27" s="172"/>
      <c r="M27" s="172"/>
    </row>
    <row r="28" spans="2:13" ht="21.75" customHeight="1" x14ac:dyDescent="0.2">
      <c r="B28" s="147" t="s">
        <v>420</v>
      </c>
      <c r="C28" s="158">
        <f>IFERROR(C26*C27,0)</f>
        <v>114947.07292297116</v>
      </c>
      <c r="D28" s="171"/>
      <c r="E28" s="171"/>
      <c r="F28" s="171"/>
      <c r="G28" s="171"/>
      <c r="H28" s="171"/>
      <c r="I28" s="171"/>
      <c r="J28" s="171"/>
      <c r="K28" s="171"/>
      <c r="L28" s="172"/>
      <c r="M28" s="172"/>
    </row>
    <row r="29" spans="2:13" ht="18" customHeight="1" x14ac:dyDescent="0.2">
      <c r="C29" s="162"/>
      <c r="D29" s="162"/>
      <c r="E29" s="162"/>
      <c r="F29" s="162"/>
      <c r="G29" s="162"/>
      <c r="H29" s="162"/>
      <c r="I29" s="162"/>
      <c r="J29" s="162"/>
      <c r="K29" s="162"/>
    </row>
    <row r="30" spans="2:13" ht="34.5" customHeight="1" x14ac:dyDescent="0.2">
      <c r="B30" s="225" t="s">
        <v>421</v>
      </c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</row>
    <row r="31" spans="2:13" ht="21.75" customHeight="1" x14ac:dyDescent="0.2">
      <c r="C31" s="162"/>
      <c r="D31" s="162"/>
      <c r="E31" s="162"/>
      <c r="F31" s="162"/>
      <c r="G31" s="162"/>
      <c r="H31" s="162"/>
      <c r="I31" s="162"/>
      <c r="J31" s="162"/>
      <c r="K31" s="162"/>
    </row>
    <row r="32" spans="2:13" ht="18" customHeight="1" x14ac:dyDescent="0.2">
      <c r="B32" s="55" t="s">
        <v>422</v>
      </c>
      <c r="C32" s="176"/>
      <c r="D32" s="177"/>
      <c r="E32" s="177"/>
      <c r="F32" s="177"/>
      <c r="G32" s="177"/>
      <c r="H32" s="177"/>
      <c r="I32" s="177"/>
      <c r="J32" s="177"/>
      <c r="K32" s="177"/>
      <c r="L32" s="178"/>
      <c r="M32" s="178"/>
    </row>
    <row r="33" spans="2:13" ht="18" customHeight="1" x14ac:dyDescent="0.2">
      <c r="B33" s="147" t="s">
        <v>423</v>
      </c>
      <c r="C33" s="158">
        <f>IFERROR(D19+E19+F19+G19+H19+I19+J19+K19,0)</f>
        <v>102712.89247724591</v>
      </c>
      <c r="D33" s="171"/>
      <c r="E33" s="171"/>
      <c r="F33" s="171"/>
      <c r="G33" s="171"/>
      <c r="H33" s="171"/>
      <c r="I33" s="171"/>
      <c r="J33" s="171"/>
      <c r="K33" s="171"/>
      <c r="L33" s="172"/>
      <c r="M33" s="172"/>
    </row>
    <row r="34" spans="2:13" ht="18" customHeight="1" x14ac:dyDescent="0.2">
      <c r="B34" s="147" t="s">
        <v>420</v>
      </c>
      <c r="C34" s="158">
        <f>C28</f>
        <v>114947.07292297116</v>
      </c>
      <c r="D34" s="171"/>
      <c r="E34" s="171"/>
      <c r="F34" s="171"/>
      <c r="G34" s="171"/>
      <c r="H34" s="171"/>
      <c r="I34" s="171"/>
      <c r="J34" s="171"/>
      <c r="K34" s="171"/>
      <c r="L34" s="172"/>
      <c r="M34" s="172"/>
    </row>
    <row r="35" spans="2:13" ht="18" customHeight="1" x14ac:dyDescent="0.2">
      <c r="B35" s="179" t="s">
        <v>424</v>
      </c>
      <c r="C35" s="180">
        <f>C33+C34</f>
        <v>217659.96540021707</v>
      </c>
      <c r="D35" s="171"/>
      <c r="E35" s="171"/>
      <c r="F35" s="171"/>
      <c r="G35" s="171"/>
      <c r="H35" s="171"/>
      <c r="I35" s="171"/>
      <c r="J35" s="171"/>
      <c r="K35" s="171"/>
      <c r="L35" s="172"/>
      <c r="M35" s="172"/>
    </row>
    <row r="36" spans="2:13" ht="18" customHeight="1" x14ac:dyDescent="0.2">
      <c r="B36" s="181" t="s">
        <v>425</v>
      </c>
      <c r="C36" s="182">
        <f>'🔑 Assumptions'!C89-'🔑 Assumptions'!C88</f>
        <v>18210</v>
      </c>
      <c r="D36" s="162"/>
      <c r="E36" s="162"/>
      <c r="F36" s="162"/>
      <c r="G36" s="162"/>
      <c r="H36" s="162"/>
      <c r="I36" s="162"/>
      <c r="J36" s="162"/>
      <c r="K36" s="162"/>
    </row>
    <row r="37" spans="2:13" ht="18" customHeight="1" x14ac:dyDescent="0.2">
      <c r="C37" s="162"/>
      <c r="D37" s="171"/>
      <c r="E37" s="171"/>
      <c r="F37" s="171"/>
      <c r="G37" s="171"/>
      <c r="H37" s="171"/>
      <c r="I37" s="171"/>
      <c r="J37" s="171"/>
      <c r="K37" s="171"/>
      <c r="L37" s="172"/>
      <c r="M37" s="172"/>
    </row>
    <row r="38" spans="2:13" ht="18" customHeight="1" x14ac:dyDescent="0.2">
      <c r="B38" s="147" t="s">
        <v>426</v>
      </c>
      <c r="C38" s="158">
        <f>'🔑 Assumptions'!$C$70</f>
        <v>5215</v>
      </c>
      <c r="D38" s="171"/>
      <c r="E38" s="171"/>
      <c r="F38" s="171"/>
      <c r="G38" s="171"/>
      <c r="H38" s="171"/>
      <c r="I38" s="171"/>
      <c r="J38" s="171"/>
      <c r="K38" s="171"/>
      <c r="L38" s="172"/>
      <c r="M38" s="172"/>
    </row>
    <row r="39" spans="2:13" ht="18" customHeight="1" x14ac:dyDescent="0.2">
      <c r="B39" s="147" t="s">
        <v>427</v>
      </c>
      <c r="C39" s="158">
        <f>'🔑 Assumptions'!C91</f>
        <v>32</v>
      </c>
      <c r="D39" s="171"/>
      <c r="E39" s="171"/>
      <c r="F39" s="171"/>
      <c r="G39" s="171"/>
      <c r="H39" s="171"/>
      <c r="I39" s="171"/>
      <c r="J39" s="171"/>
      <c r="K39" s="171"/>
      <c r="L39" s="172"/>
      <c r="M39" s="172"/>
    </row>
    <row r="40" spans="2:13" ht="18" customHeight="1" x14ac:dyDescent="0.2">
      <c r="B40" s="147" t="s">
        <v>428</v>
      </c>
      <c r="C40" s="158">
        <f>'🔑 Assumptions'!C89</f>
        <v>23425</v>
      </c>
      <c r="D40" s="171"/>
      <c r="E40" s="171"/>
      <c r="F40" s="171"/>
      <c r="G40" s="171"/>
      <c r="H40" s="171"/>
      <c r="I40" s="171"/>
      <c r="J40" s="171"/>
      <c r="K40" s="171"/>
      <c r="L40" s="172"/>
      <c r="M40" s="172"/>
    </row>
    <row r="41" spans="2:13" ht="18" customHeight="1" x14ac:dyDescent="0.2">
      <c r="B41" s="147" t="s">
        <v>429</v>
      </c>
      <c r="C41" s="158">
        <f>'🔑 Assumptions'!$C$90</f>
        <v>7090</v>
      </c>
      <c r="D41" s="171"/>
      <c r="E41" s="171"/>
      <c r="F41" s="171"/>
      <c r="G41" s="171"/>
      <c r="H41" s="171"/>
      <c r="I41" s="171"/>
      <c r="J41" s="171"/>
      <c r="K41" s="171"/>
      <c r="L41" s="172"/>
      <c r="M41" s="172"/>
    </row>
    <row r="42" spans="2:13" ht="18" customHeight="1" x14ac:dyDescent="0.2">
      <c r="B42" s="166" t="s">
        <v>430</v>
      </c>
      <c r="C42" s="174">
        <f>C35-C38-C39+C40+C41</f>
        <v>242927.96540021707</v>
      </c>
      <c r="D42" s="171"/>
      <c r="E42" s="171"/>
      <c r="F42" s="171"/>
      <c r="G42" s="171"/>
      <c r="H42" s="171"/>
      <c r="I42" s="171"/>
      <c r="J42" s="171"/>
      <c r="K42" s="171"/>
      <c r="L42" s="172"/>
      <c r="M42" s="172"/>
    </row>
    <row r="43" spans="2:13" ht="18" customHeight="1" x14ac:dyDescent="0.2">
      <c r="C43" s="162"/>
      <c r="D43" s="171"/>
      <c r="E43" s="171"/>
      <c r="F43" s="171"/>
      <c r="G43" s="171"/>
      <c r="H43" s="171"/>
      <c r="I43" s="171"/>
      <c r="J43" s="171"/>
      <c r="K43" s="171"/>
      <c r="L43" s="172"/>
      <c r="M43" s="172"/>
    </row>
    <row r="44" spans="2:13" ht="18" customHeight="1" x14ac:dyDescent="0.2">
      <c r="B44" s="147" t="s">
        <v>431</v>
      </c>
      <c r="C44" s="158">
        <f>'📊 Hist Data'!G69</f>
        <v>271.37</v>
      </c>
      <c r="D44" s="171"/>
      <c r="E44" s="171"/>
      <c r="F44" s="171"/>
      <c r="G44" s="171"/>
      <c r="H44" s="171"/>
      <c r="I44" s="171"/>
      <c r="J44" s="171"/>
      <c r="K44" s="171"/>
      <c r="L44" s="172"/>
      <c r="M44" s="172"/>
    </row>
    <row r="45" spans="2:13" ht="27.75" customHeight="1" x14ac:dyDescent="0.2">
      <c r="B45" s="183" t="s">
        <v>432</v>
      </c>
      <c r="C45" s="184">
        <f>C42/C44</f>
        <v>895.19094004575697</v>
      </c>
      <c r="D45" s="171"/>
      <c r="E45" s="171"/>
      <c r="F45" s="171"/>
      <c r="G45" s="171"/>
      <c r="H45" s="171"/>
      <c r="I45" s="171"/>
      <c r="J45" s="171"/>
      <c r="K45" s="171"/>
      <c r="L45" s="172"/>
      <c r="M45" s="172"/>
    </row>
    <row r="46" spans="2:13" ht="18" customHeight="1" x14ac:dyDescent="0.2">
      <c r="B46" s="147" t="s">
        <v>433</v>
      </c>
      <c r="C46" s="185">
        <f>'🔑 Assumptions'!C93</f>
        <v>1165</v>
      </c>
      <c r="D46" s="171"/>
      <c r="E46" s="171"/>
      <c r="F46" s="171"/>
      <c r="G46" s="171"/>
      <c r="H46" s="171"/>
      <c r="I46" s="171"/>
      <c r="J46" s="171"/>
      <c r="K46" s="171"/>
      <c r="L46" s="172"/>
      <c r="M46" s="172"/>
    </row>
    <row r="47" spans="2:13" ht="18" customHeight="1" x14ac:dyDescent="0.2">
      <c r="B47" s="147" t="s">
        <v>434</v>
      </c>
      <c r="C47" s="186">
        <f>(C45/C46-1)</f>
        <v>-0.231595759617376</v>
      </c>
      <c r="D47" s="171"/>
      <c r="E47" s="171"/>
      <c r="F47" s="171"/>
      <c r="G47" s="171"/>
      <c r="H47" s="171"/>
      <c r="I47" s="171"/>
      <c r="J47" s="171"/>
      <c r="K47" s="171"/>
      <c r="L47" s="172"/>
      <c r="M47" s="172"/>
    </row>
    <row r="48" spans="2:13" ht="27.75" customHeight="1" x14ac:dyDescent="0.2">
      <c r="B48" s="187" t="s">
        <v>435</v>
      </c>
      <c r="C48" s="188" t="str">
        <f>IF(C47&gt;0.1,"🟢 UNDERVALUED",IF(C47&lt;-0.1,"🔴 OVERVALUED","🟡 FAIRLY VALUED"))</f>
        <v>🔴 OVERVALUED</v>
      </c>
      <c r="D48" s="171"/>
      <c r="E48" s="171"/>
      <c r="F48" s="171"/>
      <c r="G48" s="171"/>
      <c r="H48" s="171"/>
      <c r="I48" s="171"/>
      <c r="J48" s="171"/>
      <c r="K48" s="171"/>
      <c r="L48" s="172"/>
      <c r="M48" s="172"/>
    </row>
  </sheetData>
  <mergeCells count="5">
    <mergeCell ref="B1:N1"/>
    <mergeCell ref="B3:M3"/>
    <mergeCell ref="B14:M14"/>
    <mergeCell ref="B21:M21"/>
    <mergeCell ref="B30:M3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21"/>
  <sheetViews>
    <sheetView showGridLines="0" zoomScaleNormal="100" workbookViewId="0">
      <selection activeCell="H8" sqref="H8"/>
    </sheetView>
  </sheetViews>
  <sheetFormatPr baseColWidth="10" defaultColWidth="8.6640625" defaultRowHeight="15" x14ac:dyDescent="0.2"/>
  <cols>
    <col min="1" max="1" width="2" customWidth="1"/>
    <col min="2" max="2" width="23.1640625" customWidth="1"/>
    <col min="3" max="12" width="14" customWidth="1"/>
  </cols>
  <sheetData>
    <row r="1" spans="2:12" ht="27.75" customHeight="1" x14ac:dyDescent="0.2">
      <c r="B1" s="223" t="s">
        <v>436</v>
      </c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2:12" ht="15" customHeight="1" x14ac:dyDescent="0.2">
      <c r="B2" s="189" t="s">
        <v>437</v>
      </c>
      <c r="C2" s="190">
        <f>'🔑 Assumptions'!C14</f>
        <v>5.5E-2</v>
      </c>
      <c r="E2" s="189" t="s">
        <v>438</v>
      </c>
      <c r="F2" s="191">
        <f>'🔑 Assumptions'!C75</f>
        <v>0.13726688229865294</v>
      </c>
    </row>
    <row r="3" spans="2:12" ht="21.75" customHeight="1" x14ac:dyDescent="0.2">
      <c r="B3" s="226" t="s">
        <v>439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</row>
    <row r="4" spans="2:12" ht="19.5" customHeight="1" x14ac:dyDescent="0.2">
      <c r="B4" s="192">
        <f>'💰 FCF &amp; Val'!C45</f>
        <v>895.19094004575697</v>
      </c>
      <c r="C4" s="193">
        <v>0.03</v>
      </c>
      <c r="D4" s="193">
        <v>0.04</v>
      </c>
      <c r="E4" s="193">
        <v>0.05</v>
      </c>
      <c r="F4" s="193">
        <v>5.5E-2</v>
      </c>
      <c r="G4" s="193">
        <v>0.06</v>
      </c>
      <c r="H4" s="193">
        <v>6.5000000000000002E-2</v>
      </c>
      <c r="I4" s="193">
        <v>7.0000000000000007E-2</v>
      </c>
    </row>
    <row r="5" spans="2:12" ht="19.5" customHeight="1" x14ac:dyDescent="0.2">
      <c r="B5" s="194">
        <v>9.5000000000000001E-2</v>
      </c>
      <c r="C5" s="195">
        <f>( SUMPRODUCT('💰 FCF &amp; Val'!$D$11:$K$11,1/(1+$B5)^('💰 FCF &amp; Val'!$D$16:$K$16)) + ('💰 FCF &amp; Val'!$K$11*(1+C$4)/($B5+('🔑 Assumptions'!$C$76-'🔑 Assumptions'!$C$75)-C$4))/(1+$B5)^8 + '💰 FCF &amp; Val'!$C$40+'💰 FCF &amp; Val'!$C$41-'💰 FCF &amp; Val'!$C$38-'💰 FCF &amp; Val'!$C$39 )/'💰 FCF &amp; Val'!$C$44</f>
        <v>1233.3550427889309</v>
      </c>
      <c r="D5" s="195">
        <f>( SUMPRODUCT('💰 FCF &amp; Val'!$D$11:$K$11,1/(1+$B5)^('💰 FCF &amp; Val'!$D$16:$K$16)) + ('💰 FCF &amp; Val'!$K$11*(1+D$4)/($B5+('🔑 Assumptions'!$C$76-'🔑 Assumptions'!$C$75)-D$4))/(1+$B5)^8 + '💰 FCF &amp; Val'!$C$40+'💰 FCF &amp; Val'!$C$41-'💰 FCF &amp; Val'!$C$38-'💰 FCF &amp; Val'!$C$39 )/'💰 FCF &amp; Val'!$C$44</f>
        <v>1355.7469207033525</v>
      </c>
      <c r="E5" s="195">
        <f>( SUMPRODUCT('💰 FCF &amp; Val'!$D$11:$K$11,1/(1+$B5)^('💰 FCF &amp; Val'!$D$16:$K$16)) + ('💰 FCF &amp; Val'!$K$11*(1+E$4)/($B5+('🔑 Assumptions'!$C$76-'🔑 Assumptions'!$C$75)-E$4))/(1+$B5)^8 + '💰 FCF &amp; Val'!$C$40+'💰 FCF &amp; Val'!$C$41-'💰 FCF &amp; Val'!$C$38-'💰 FCF &amp; Val'!$C$39 )/'💰 FCF &amp; Val'!$C$44</f>
        <v>1526.3124804063787</v>
      </c>
      <c r="F5" s="195">
        <f>( SUMPRODUCT('💰 FCF &amp; Val'!$D$11:$K$11,1/(1+$B5)^('💰 FCF &amp; Val'!$D$16:$K$16)) + ('💰 FCF &amp; Val'!$K$11*(1+F$4)/($B5+('🔑 Assumptions'!$C$76-'🔑 Assumptions'!$C$75)-F$4))/(1+$B5)^8 + '💰 FCF &amp; Val'!$C$40+'💰 FCF &amp; Val'!$C$41-'💰 FCF &amp; Val'!$C$38-'💰 FCF &amp; Val'!$C$39 )/'💰 FCF &amp; Val'!$C$44</f>
        <v>1639.5185243857538</v>
      </c>
      <c r="G5" s="195">
        <f>( SUMPRODUCT('💰 FCF &amp; Val'!$D$11:$K$11,1/(1+$B5)^('💰 FCF &amp; Val'!$D$16:$K$16)) + ('💰 FCF &amp; Val'!$K$11*(1+G$4)/($B5+('🔑 Assumptions'!$C$76-'🔑 Assumptions'!$C$75)-G$4))/(1+$B5)^8 + '💰 FCF &amp; Val'!$C$40+'💰 FCF &amp; Val'!$C$41-'💰 FCF &amp; Val'!$C$38-'💰 FCF &amp; Val'!$C$39 )/'💰 FCF &amp; Val'!$C$44</f>
        <v>1780.4624753153757</v>
      </c>
      <c r="H5" s="195">
        <f>( SUMPRODUCT('💰 FCF &amp; Val'!$D$11:$K$11,1/(1+$B5)^('💰 FCF &amp; Val'!$D$16:$K$16)) + ('💰 FCF &amp; Val'!$K$11*(1+H$4)/($B5+('🔑 Assumptions'!$C$76-'🔑 Assumptions'!$C$75)-H$4))/(1+$B5)^8 + '💰 FCF &amp; Val'!$C$40+'💰 FCF &amp; Val'!$C$41-'💰 FCF &amp; Val'!$C$38-'💰 FCF &amp; Val'!$C$39 )/'💰 FCF &amp; Val'!$C$44</f>
        <v>1960.762221509794</v>
      </c>
      <c r="I5" s="195">
        <f>( SUMPRODUCT('💰 FCF &amp; Val'!$D$11:$K$11,1/(1+$B5)^('💰 FCF &amp; Val'!$D$16:$K$16)) + ('💰 FCF &amp; Val'!$K$11*(1+I$4)/($B5+('🔑 Assumptions'!$C$76-'🔑 Assumptions'!$C$75)-I$4))/(1+$B5)^8 + '💰 FCF &amp; Val'!$C$40+'💰 FCF &amp; Val'!$C$41-'💰 FCF &amp; Val'!$C$38-'💰 FCF &amp; Val'!$C$39 )/'💰 FCF &amp; Val'!$C$44</f>
        <v>2199.5766113706509</v>
      </c>
    </row>
    <row r="6" spans="2:12" ht="19.5" customHeight="1" x14ac:dyDescent="0.2">
      <c r="B6" s="194">
        <v>0.1</v>
      </c>
      <c r="C6" s="195">
        <f>( SUMPRODUCT('💰 FCF &amp; Val'!$D$11:$K$11,1/(1+$B6)^('💰 FCF &amp; Val'!$D$16:$K$16)) + ('💰 FCF &amp; Val'!$K$11*(1+C$4)/($B6+('🔑 Assumptions'!$C$76-'🔑 Assumptions'!$C$75)-C$4))/(1+$B6)^8 + '💰 FCF &amp; Val'!$C$40+'💰 FCF &amp; Val'!$C$41-'💰 FCF &amp; Val'!$C$38-'💰 FCF &amp; Val'!$C$39 )/'💰 FCF &amp; Val'!$C$44</f>
        <v>1155.5543193747037</v>
      </c>
      <c r="D6" s="195">
        <f>( SUMPRODUCT('💰 FCF &amp; Val'!$D$11:$K$11,1/(1+$B6)^('💰 FCF &amp; Val'!$D$16:$K$16)) + ('💰 FCF &amp; Val'!$K$11*(1+D$4)/($B6+('🔑 Assumptions'!$C$76-'🔑 Assumptions'!$C$75)-D$4))/(1+$B6)^8 + '💰 FCF &amp; Val'!$C$40+'💰 FCF &amp; Val'!$C$41-'💰 FCF &amp; Val'!$C$38-'💰 FCF &amp; Val'!$C$39 )/'💰 FCF &amp; Val'!$C$44</f>
        <v>1257.8709036858334</v>
      </c>
      <c r="E6" s="195">
        <f>( SUMPRODUCT('💰 FCF &amp; Val'!$D$11:$K$11,1/(1+$B6)^('💰 FCF &amp; Val'!$D$16:$K$16)) + ('💰 FCF &amp; Val'!$K$11*(1+E$4)/($B6+('🔑 Assumptions'!$C$76-'🔑 Assumptions'!$C$75)-E$4))/(1+$B6)^8 + '💰 FCF &amp; Val'!$C$40+'💰 FCF &amp; Val'!$C$41-'💰 FCF &amp; Val'!$C$38-'💰 FCF &amp; Val'!$C$39 )/'💰 FCF &amp; Val'!$C$44</f>
        <v>1396.8517170675486</v>
      </c>
      <c r="F6" s="195">
        <f>( SUMPRODUCT('💰 FCF &amp; Val'!$D$11:$K$11,1/(1+$B6)^('💰 FCF &amp; Val'!$D$16:$K$16)) + ('💰 FCF &amp; Val'!$K$11*(1+F$4)/($B6+('🔑 Assumptions'!$C$76-'🔑 Assumptions'!$C$75)-F$4))/(1+$B6)^8 + '💰 FCF &amp; Val'!$C$40+'💰 FCF &amp; Val'!$C$41-'💰 FCF &amp; Val'!$C$38-'💰 FCF &amp; Val'!$C$39 )/'💰 FCF &amp; Val'!$C$44</f>
        <v>1486.855793433612</v>
      </c>
      <c r="G6" s="195">
        <f>( SUMPRODUCT('💰 FCF &amp; Val'!$D$11:$K$11,1/(1+$B6)^('💰 FCF &amp; Val'!$D$16:$K$16)) + ('💰 FCF &amp; Val'!$K$11*(1+G$4)/($B6+('🔑 Assumptions'!$C$76-'🔑 Assumptions'!$C$75)-G$4))/(1+$B6)^8 + '💰 FCF &amp; Val'!$C$40+'💰 FCF &amp; Val'!$C$41-'💰 FCF &amp; Val'!$C$38-'💰 FCF &amp; Val'!$C$39 )/'💰 FCF &amp; Val'!$C$44</f>
        <v>1596.505942948555</v>
      </c>
      <c r="H6" s="195">
        <f>( SUMPRODUCT('💰 FCF &amp; Val'!$D$11:$K$11,1/(1+$B6)^('💰 FCF &amp; Val'!$D$16:$K$16)) + ('💰 FCF &amp; Val'!$K$11*(1+H$4)/($B6+('🔑 Assumptions'!$C$76-'🔑 Assumptions'!$C$75)-H$4))/(1+$B6)^8 + '💰 FCF &amp; Val'!$C$40+'💰 FCF &amp; Val'!$C$41-'💰 FCF &amp; Val'!$C$38-'💰 FCF &amp; Val'!$C$39 )/'💰 FCF &amp; Val'!$C$44</f>
        <v>1733.0227290618066</v>
      </c>
      <c r="I6" s="195">
        <f>( SUMPRODUCT('💰 FCF &amp; Val'!$D$11:$K$11,1/(1+$B6)^('💰 FCF &amp; Val'!$D$16:$K$16)) + ('💰 FCF &amp; Val'!$K$11*(1+I$4)/($B6+('🔑 Assumptions'!$C$76-'🔑 Assumptions'!$C$75)-I$4))/(1+$B6)^8 + '💰 FCF &amp; Val'!$C$40+'💰 FCF &amp; Val'!$C$41-'💰 FCF &amp; Val'!$C$38-'💰 FCF &amp; Val'!$C$39 )/'💰 FCF &amp; Val'!$C$44</f>
        <v>1907.6591127104223</v>
      </c>
    </row>
    <row r="7" spans="2:12" ht="19.5" customHeight="1" x14ac:dyDescent="0.2">
      <c r="B7" s="194">
        <v>0.11</v>
      </c>
      <c r="C7" s="195">
        <f>( SUMPRODUCT('💰 FCF &amp; Val'!$D$11:$K$11,1/(1+$B7)^('💰 FCF &amp; Val'!$D$16:$K$16)) + ('💰 FCF &amp; Val'!$K$11*(1+C$4)/($B7+('🔑 Assumptions'!$C$76-'🔑 Assumptions'!$C$75)-C$4))/(1+$B7)^8 + '💰 FCF &amp; Val'!$C$40+'💰 FCF &amp; Val'!$C$41-'💰 FCF &amp; Val'!$C$38-'💰 FCF &amp; Val'!$C$39 )/'💰 FCF &amp; Val'!$C$44</f>
        <v>1027.3253776489221</v>
      </c>
      <c r="D7" s="195">
        <f>( SUMPRODUCT('💰 FCF &amp; Val'!$D$11:$K$11,1/(1+$B7)^('💰 FCF &amp; Val'!$D$16:$K$16)) + ('💰 FCF &amp; Val'!$K$11*(1+D$4)/($B7+('🔑 Assumptions'!$C$76-'🔑 Assumptions'!$C$75)-D$4))/(1+$B7)^8 + '💰 FCF &amp; Val'!$C$40+'💰 FCF &amp; Val'!$C$41-'💰 FCF &amp; Val'!$C$38-'💰 FCF &amp; Val'!$C$39 )/'💰 FCF &amp; Val'!$C$44</f>
        <v>1100.9751890882019</v>
      </c>
      <c r="E7" s="195">
        <f>( SUMPRODUCT('💰 FCF &amp; Val'!$D$11:$K$11,1/(1+$B7)^('💰 FCF &amp; Val'!$D$16:$K$16)) + ('💰 FCF &amp; Val'!$K$11*(1+E$4)/($B7+('🔑 Assumptions'!$C$76-'🔑 Assumptions'!$C$75)-E$4))/(1+$B7)^8 + '💰 FCF &amp; Val'!$C$40+'💰 FCF &amp; Val'!$C$41-'💰 FCF &amp; Val'!$C$38-'💰 FCF &amp; Val'!$C$39 )/'💰 FCF &amp; Val'!$C$44</f>
        <v>1197.0066224051659</v>
      </c>
      <c r="F7" s="195">
        <f>( SUMPRODUCT('💰 FCF &amp; Val'!$D$11:$K$11,1/(1+$B7)^('💰 FCF &amp; Val'!$D$16:$K$16)) + ('💰 FCF &amp; Val'!$K$11*(1+F$4)/($B7+('🔑 Assumptions'!$C$76-'🔑 Assumptions'!$C$75)-F$4))/(1+$B7)^8 + '💰 FCF &amp; Val'!$C$40+'💰 FCF &amp; Val'!$C$41-'💰 FCF &amp; Val'!$C$38-'💰 FCF &amp; Val'!$C$39 )/'💰 FCF &amp; Val'!$C$44</f>
        <v>1256.8658369142368</v>
      </c>
      <c r="G7" s="195">
        <f>( SUMPRODUCT('💰 FCF &amp; Val'!$D$11:$K$11,1/(1+$B7)^('💰 FCF &amp; Val'!$D$16:$K$16)) + ('💰 FCF &amp; Val'!$K$11*(1+G$4)/($B7+('🔑 Assumptions'!$C$76-'🔑 Assumptions'!$C$75)-G$4))/(1+$B7)^8 + '💰 FCF &amp; Val'!$C$40+'💰 FCF &amp; Val'!$C$41-'💰 FCF &amp; Val'!$C$38-'💰 FCF &amp; Val'!$C$39 )/'💰 FCF &amp; Val'!$C$44</f>
        <v>1327.4500573816388</v>
      </c>
      <c r="H7" s="195">
        <f>( SUMPRODUCT('💰 FCF &amp; Val'!$D$11:$K$11,1/(1+$B7)^('💰 FCF &amp; Val'!$D$16:$K$16)) + ('💰 FCF &amp; Val'!$K$11*(1+H$4)/($B7+('🔑 Assumptions'!$C$76-'🔑 Assumptions'!$C$75)-H$4))/(1+$B7)^8 + '💰 FCF &amp; Val'!$C$40+'💰 FCF &amp; Val'!$C$41-'💰 FCF &amp; Val'!$C$38-'💰 FCF &amp; Val'!$C$39 )/'💰 FCF &amp; Val'!$C$44</f>
        <v>1411.9253212501021</v>
      </c>
      <c r="I7" s="195">
        <f>( SUMPRODUCT('💰 FCF &amp; Val'!$D$11:$K$11,1/(1+$B7)^('💰 FCF &amp; Val'!$D$16:$K$16)) + ('💰 FCF &amp; Val'!$K$11*(1+I$4)/($B7+('🔑 Assumptions'!$C$76-'🔑 Assumptions'!$C$75)-I$4))/(1+$B7)^8 + '💰 FCF &amp; Val'!$C$40+'💰 FCF &amp; Val'!$C$41-'💰 FCF &amp; Val'!$C$38-'💰 FCF &amp; Val'!$C$39 )/'💰 FCF &amp; Val'!$C$44</f>
        <v>1514.8398300976573</v>
      </c>
    </row>
    <row r="8" spans="2:12" ht="19.5" customHeight="1" x14ac:dyDescent="0.2">
      <c r="B8" s="194">
        <v>0.12</v>
      </c>
      <c r="C8" s="195">
        <f>( SUMPRODUCT('💰 FCF &amp; Val'!$D$11:$K$11,1/(1+$B8)^('💰 FCF &amp; Val'!$D$16:$K$16)) + ('💰 FCF &amp; Val'!$K$11*(1+C$4)/($B8+('🔑 Assumptions'!$C$76-'🔑 Assumptions'!$C$75)-C$4))/(1+$B8)^8 + '💰 FCF &amp; Val'!$C$40+'💰 FCF &amp; Val'!$C$41-'💰 FCF &amp; Val'!$C$38-'💰 FCF &amp; Val'!$C$39 )/'💰 FCF &amp; Val'!$C$44</f>
        <v>926.05890246950685</v>
      </c>
      <c r="D8" s="195">
        <f>( SUMPRODUCT('💰 FCF &amp; Val'!$D$11:$K$11,1/(1+$B8)^('💰 FCF &amp; Val'!$D$16:$K$16)) + ('💰 FCF &amp; Val'!$K$11*(1+D$4)/($B8+('🔑 Assumptions'!$C$76-'🔑 Assumptions'!$C$75)-D$4))/(1+$B8)^8 + '💰 FCF &amp; Val'!$C$40+'💰 FCF &amp; Val'!$C$41-'💰 FCF &amp; Val'!$C$38-'💰 FCF &amp; Val'!$C$39 )/'💰 FCF &amp; Val'!$C$44</f>
        <v>980.78633622937787</v>
      </c>
      <c r="E8" s="195">
        <f>( SUMPRODUCT('💰 FCF &amp; Val'!$D$11:$K$11,1/(1+$B8)^('💰 FCF &amp; Val'!$D$16:$K$16)) + ('💰 FCF &amp; Val'!$K$11*(1+E$4)/($B8+('🔑 Assumptions'!$C$76-'🔑 Assumptions'!$C$75)-E$4))/(1+$B8)^8 + '💰 FCF &amp; Val'!$C$40+'💰 FCF &amp; Val'!$C$41-'💰 FCF &amp; Val'!$C$38-'💰 FCF &amp; Val'!$C$39 )/'💰 FCF &amp; Val'!$C$44</f>
        <v>1049.9512964290043</v>
      </c>
      <c r="F8" s="195">
        <f>( SUMPRODUCT('💰 FCF &amp; Val'!$D$11:$K$11,1/(1+$B8)^('💰 FCF &amp; Val'!$D$16:$K$16)) + ('💰 FCF &amp; Val'!$K$11*(1+F$4)/($B8+('🔑 Assumptions'!$C$76-'🔑 Assumptions'!$C$75)-F$4))/(1+$B8)^8 + '💰 FCF &amp; Val'!$C$40+'💰 FCF &amp; Val'!$C$41-'💰 FCF &amp; Val'!$C$38-'💰 FCF &amp; Val'!$C$39 )/'💰 FCF &amp; Val'!$C$44</f>
        <v>1091.8592532898781</v>
      </c>
      <c r="G8" s="195">
        <f>( SUMPRODUCT('💰 FCF &amp; Val'!$D$11:$K$11,1/(1+$B8)^('💰 FCF &amp; Val'!$D$16:$K$16)) + ('💰 FCF &amp; Val'!$K$11*(1+G$4)/($B8+('🔑 Assumptions'!$C$76-'🔑 Assumptions'!$C$75)-G$4))/(1+$B8)^8 + '💰 FCF &amp; Val'!$C$40+'💰 FCF &amp; Val'!$C$41-'💰 FCF &amp; Val'!$C$38-'💰 FCF &amp; Val'!$C$39 )/'💰 FCF &amp; Val'!$C$44</f>
        <v>1140.1349660607571</v>
      </c>
      <c r="H8" s="195">
        <f>( SUMPRODUCT('💰 FCF &amp; Val'!$D$11:$K$11,1/(1+$B8)^('💰 FCF &amp; Val'!$D$16:$K$16)) + ('💰 FCF &amp; Val'!$K$11*(1+H$4)/($B8+('🔑 Assumptions'!$C$76-'🔑 Assumptions'!$C$75)-H$4))/(1+$B8)^8 + '💰 FCF &amp; Val'!$C$40+'💰 FCF &amp; Val'!$C$41-'💰 FCF &amp; Val'!$C$38-'💰 FCF &amp; Val'!$C$39 )/'💰 FCF &amp; Val'!$C$44</f>
        <v>1196.3490976137498</v>
      </c>
      <c r="I8" s="195">
        <f>( SUMPRODUCT('💰 FCF &amp; Val'!$D$11:$K$11,1/(1+$B8)^('💰 FCF &amp; Val'!$D$16:$K$16)) + ('💰 FCF &amp; Val'!$K$11*(1+I$4)/($B8+('🔑 Assumptions'!$C$76-'🔑 Assumptions'!$C$75)-I$4))/(1+$B8)^8 + '💰 FCF &amp; Val'!$C$40+'💰 FCF &amp; Val'!$C$41-'💰 FCF &amp; Val'!$C$38-'💰 FCF &amp; Val'!$C$39 )/'💰 FCF &amp; Val'!$C$44</f>
        <v>1262.6351437548783</v>
      </c>
    </row>
    <row r="9" spans="2:12" ht="19.5" customHeight="1" x14ac:dyDescent="0.2">
      <c r="B9" s="194">
        <v>0.125</v>
      </c>
      <c r="C9" s="195">
        <f>( SUMPRODUCT('💰 FCF &amp; Val'!$D$11:$K$11,1/(1+$B9)^('💰 FCF &amp; Val'!$D$16:$K$16)) + ('💰 FCF &amp; Val'!$K$11*(1+C$4)/($B9+('🔑 Assumptions'!$C$76-'🔑 Assumptions'!$C$75)-C$4))/(1+$B9)^8 + '💰 FCF &amp; Val'!$C$40+'💰 FCF &amp; Val'!$C$41-'💰 FCF &amp; Val'!$C$38-'💰 FCF &amp; Val'!$C$39 )/'💰 FCF &amp; Val'!$C$44</f>
        <v>883.02544879564266</v>
      </c>
      <c r="D9" s="195">
        <f>( SUMPRODUCT('💰 FCF &amp; Val'!$D$11:$K$11,1/(1+$B9)^('💰 FCF &amp; Val'!$D$16:$K$16)) + ('💰 FCF &amp; Val'!$K$11*(1+D$4)/($B9+('🔑 Assumptions'!$C$76-'🔑 Assumptions'!$C$75)-D$4))/(1+$B9)^8 + '💰 FCF &amp; Val'!$C$40+'💰 FCF &amp; Val'!$C$41-'💰 FCF &amp; Val'!$C$38-'💰 FCF &amp; Val'!$C$39 )/'💰 FCF &amp; Val'!$C$44</f>
        <v>930.66486809438788</v>
      </c>
      <c r="E9" s="195">
        <f>( SUMPRODUCT('💰 FCF &amp; Val'!$D$11:$K$11,1/(1+$B9)^('💰 FCF &amp; Val'!$D$16:$K$16)) + ('💰 FCF &amp; Val'!$K$11*(1+E$4)/($B9+('🔑 Assumptions'!$C$76-'🔑 Assumptions'!$C$75)-E$4))/(1+$B9)^8 + '💰 FCF &amp; Val'!$C$40+'💰 FCF &amp; Val'!$C$41-'💰 FCF &amp; Val'!$C$38-'💰 FCF &amp; Val'!$C$39 )/'💰 FCF &amp; Val'!$C$44</f>
        <v>990.09436148854149</v>
      </c>
      <c r="F9" s="195">
        <f>( SUMPRODUCT('💰 FCF &amp; Val'!$D$11:$K$11,1/(1+$B9)^('💰 FCF &amp; Val'!$D$16:$K$16)) + ('💰 FCF &amp; Val'!$K$11*(1+F$4)/($B9+('🔑 Assumptions'!$C$76-'🔑 Assumptions'!$C$75)-F$4))/(1+$B9)^8 + '💰 FCF &amp; Val'!$C$40+'💰 FCF &amp; Val'!$C$41-'💰 FCF &amp; Val'!$C$38-'💰 FCF &amp; Val'!$C$39 )/'💰 FCF &amp; Val'!$C$44</f>
        <v>1025.6883456852063</v>
      </c>
      <c r="G9" s="195">
        <f>( SUMPRODUCT('💰 FCF &amp; Val'!$D$11:$K$11,1/(1+$B9)^('💰 FCF &amp; Val'!$D$16:$K$16)) + ('💰 FCF &amp; Val'!$K$11*(1+G$4)/($B9+('🔑 Assumptions'!$C$76-'🔑 Assumptions'!$C$75)-G$4))/(1+$B9)^8 + '💰 FCF &amp; Val'!$C$40+'💰 FCF &amp; Val'!$C$41-'💰 FCF &amp; Val'!$C$38-'💰 FCF &amp; Val'!$C$39 )/'💰 FCF &amp; Val'!$C$44</f>
        <v>1066.3088231295828</v>
      </c>
      <c r="H9" s="195">
        <f>( SUMPRODUCT('💰 FCF &amp; Val'!$D$11:$K$11,1/(1+$B9)^('💰 FCF &amp; Val'!$D$16:$K$16)) + ('💰 FCF &amp; Val'!$K$11*(1+H$4)/($B9+('🔑 Assumptions'!$C$76-'🔑 Assumptions'!$C$75)-H$4))/(1+$B9)^8 + '💰 FCF &amp; Val'!$C$40+'💰 FCF &amp; Val'!$C$41-'💰 FCF &amp; Val'!$C$38-'💰 FCF &amp; Val'!$C$39 )/'💰 FCF &amp; Val'!$C$44</f>
        <v>1113.1014288447871</v>
      </c>
      <c r="I9" s="195">
        <f>( SUMPRODUCT('💰 FCF &amp; Val'!$D$11:$K$11,1/(1+$B9)^('💰 FCF &amp; Val'!$D$16:$K$16)) + ('💰 FCF &amp; Val'!$K$11*(1+I$4)/($B9+('🔑 Assumptions'!$C$76-'🔑 Assumptions'!$C$75)-I$4))/(1+$B9)^8 + '💰 FCF &amp; Val'!$C$40+'💰 FCF &amp; Val'!$C$41-'💰 FCF &amp; Val'!$C$38-'💰 FCF &amp; Val'!$C$39 )/'💰 FCF &amp; Val'!$C$44</f>
        <v>1167.5885724290979</v>
      </c>
    </row>
    <row r="10" spans="2:12" ht="19.5" customHeight="1" x14ac:dyDescent="0.2">
      <c r="B10" s="194">
        <v>0.13</v>
      </c>
      <c r="C10" s="195">
        <f>( SUMPRODUCT('💰 FCF &amp; Val'!$D$11:$K$11,1/(1+$B10)^('💰 FCF &amp; Val'!$D$16:$K$16)) + ('💰 FCF &amp; Val'!$K$11*(1+C$4)/($B10+('🔑 Assumptions'!$C$76-'🔑 Assumptions'!$C$75)-C$4))/(1+$B10)^8 + '💰 FCF &amp; Val'!$C$40+'💰 FCF &amp; Val'!$C$41-'💰 FCF &amp; Val'!$C$38-'💰 FCF &amp; Val'!$C$39 )/'💰 FCF &amp; Val'!$C$44</f>
        <v>844.09906566450798</v>
      </c>
      <c r="D10" s="195">
        <f>( SUMPRODUCT('💰 FCF &amp; Val'!$D$11:$K$11,1/(1+$B10)^('💰 FCF &amp; Val'!$D$16:$K$16)) + ('💰 FCF &amp; Val'!$K$11*(1+D$4)/($B10+('🔑 Assumptions'!$C$76-'🔑 Assumptions'!$C$75)-D$4))/(1+$B10)^8 + '💰 FCF &amp; Val'!$C$40+'💰 FCF &amp; Val'!$C$41-'💰 FCF &amp; Val'!$C$38-'💰 FCF &amp; Val'!$C$39 )/'💰 FCF &amp; Val'!$C$44</f>
        <v>885.80291266242602</v>
      </c>
      <c r="E10" s="195">
        <f>( SUMPRODUCT('💰 FCF &amp; Val'!$D$11:$K$11,1/(1+$B10)^('💰 FCF &amp; Val'!$D$16:$K$16)) + ('💰 FCF &amp; Val'!$K$11*(1+E$4)/($B10+('🔑 Assumptions'!$C$76-'🔑 Assumptions'!$C$75)-E$4))/(1+$B10)^8 + '💰 FCF &amp; Val'!$C$40+'💰 FCF &amp; Val'!$C$41-'💰 FCF &amp; Val'!$C$38-'💰 FCF &amp; Val'!$C$39 )/'💰 FCF &amp; Val'!$C$44</f>
        <v>937.22649102446326</v>
      </c>
      <c r="F10" s="195">
        <f>( SUMPRODUCT('💰 FCF &amp; Val'!$D$11:$K$11,1/(1+$B10)^('💰 FCF &amp; Val'!$D$16:$K$16)) + ('💰 FCF &amp; Val'!$K$11*(1+F$4)/($B10+('🔑 Assumptions'!$C$76-'🔑 Assumptions'!$C$75)-F$4))/(1+$B10)^8 + '💰 FCF &amp; Val'!$C$40+'💰 FCF &amp; Val'!$C$41-'💰 FCF &amp; Val'!$C$38-'💰 FCF &amp; Val'!$C$39 )/'💰 FCF &amp; Val'!$C$44</f>
        <v>967.71075493384774</v>
      </c>
      <c r="G10" s="195">
        <f>( SUMPRODUCT('💰 FCF &amp; Val'!$D$11:$K$11,1/(1+$B10)^('💰 FCF &amp; Val'!$D$16:$K$16)) + ('💰 FCF &amp; Val'!$K$11*(1+G$4)/($B10+('🔑 Assumptions'!$C$76-'🔑 Assumptions'!$C$75)-G$4))/(1+$B10)^8 + '💰 FCF &amp; Val'!$C$40+'💰 FCF &amp; Val'!$C$41-'💰 FCF &amp; Val'!$C$38-'💰 FCF &amp; Val'!$C$39 )/'💰 FCF &amp; Val'!$C$44</f>
        <v>1002.216012848902</v>
      </c>
      <c r="H10" s="195">
        <f>( SUMPRODUCT('💰 FCF &amp; Val'!$D$11:$K$11,1/(1+$B10)^('💰 FCF &amp; Val'!$D$16:$K$16)) + ('💰 FCF &amp; Val'!$K$11*(1+H$4)/($B10+('🔑 Assumptions'!$C$76-'🔑 Assumptions'!$C$75)-H$4))/(1+$B10)^8 + '💰 FCF &amp; Val'!$C$40+'💰 FCF &amp; Val'!$C$41-'💰 FCF &amp; Val'!$C$38-'💰 FCF &amp; Val'!$C$39 )/'💰 FCF &amp; Val'!$C$44</f>
        <v>1041.5940168145883</v>
      </c>
      <c r="I10" s="195">
        <f>( SUMPRODUCT('💰 FCF &amp; Val'!$D$11:$K$11,1/(1+$B10)^('💰 FCF &amp; Val'!$D$16:$K$16)) + ('💰 FCF &amp; Val'!$K$11*(1+I$4)/($B10+('🔑 Assumptions'!$C$76-'🔑 Assumptions'!$C$75)-I$4))/(1+$B10)^8 + '💰 FCF &amp; Val'!$C$40+'💰 FCF &amp; Val'!$C$41-'💰 FCF &amp; Val'!$C$38-'💰 FCF &amp; Val'!$C$39 )/'💰 FCF &amp; Val'!$C$44</f>
        <v>1086.9553598943505</v>
      </c>
    </row>
    <row r="11" spans="2:12" ht="19.5" customHeight="1" x14ac:dyDescent="0.2">
      <c r="B11" s="194">
        <v>0.14000000000000001</v>
      </c>
      <c r="C11" s="195">
        <f>( SUMPRODUCT('💰 FCF &amp; Val'!$D$11:$K$11,1/(1+$B11)^('💰 FCF &amp; Val'!$D$16:$K$16)) + ('💰 FCF &amp; Val'!$K$11*(1+C$4)/($B11+('🔑 Assumptions'!$C$76-'🔑 Assumptions'!$C$75)-C$4))/(1+$B11)^8 + '💰 FCF &amp; Val'!$C$40+'💰 FCF &amp; Val'!$C$41-'💰 FCF &amp; Val'!$C$38-'💰 FCF &amp; Val'!$C$39 )/'💰 FCF &amp; Val'!$C$44</f>
        <v>776.43504686158349</v>
      </c>
      <c r="D11" s="195">
        <f>( SUMPRODUCT('💰 FCF &amp; Val'!$D$11:$K$11,1/(1+$B11)^('💰 FCF &amp; Val'!$D$16:$K$16)) + ('💰 FCF &amp; Val'!$K$11*(1+D$4)/($B11+('🔑 Assumptions'!$C$76-'🔑 Assumptions'!$C$75)-D$4))/(1+$B11)^8 + '💰 FCF &amp; Val'!$C$40+'💰 FCF &amp; Val'!$C$41-'💰 FCF &amp; Val'!$C$38-'💰 FCF &amp; Val'!$C$39 )/'💰 FCF &amp; Val'!$C$44</f>
        <v>808.87189914215537</v>
      </c>
      <c r="E11" s="195">
        <f>( SUMPRODUCT('💰 FCF &amp; Val'!$D$11:$K$11,1/(1+$B11)^('💰 FCF &amp; Val'!$D$16:$K$16)) + ('💰 FCF &amp; Val'!$K$11*(1+E$4)/($B11+('🔑 Assumptions'!$C$76-'🔑 Assumptions'!$C$75)-E$4))/(1+$B11)^8 + '💰 FCF &amp; Val'!$C$40+'💰 FCF &amp; Val'!$C$41-'💰 FCF &amp; Val'!$C$38-'💰 FCF &amp; Val'!$C$39 )/'💰 FCF &amp; Val'!$C$44</f>
        <v>848.07963527882373</v>
      </c>
      <c r="F11" s="195">
        <f>( SUMPRODUCT('💰 FCF &amp; Val'!$D$11:$K$11,1/(1+$B11)^('💰 FCF &amp; Val'!$D$16:$K$16)) + ('💰 FCF &amp; Val'!$K$11*(1+F$4)/($B11+('🔑 Assumptions'!$C$76-'🔑 Assumptions'!$C$75)-F$4))/(1+$B11)^8 + '💰 FCF &amp; Val'!$C$40+'💰 FCF &amp; Val'!$C$41-'💰 FCF &amp; Val'!$C$38-'💰 FCF &amp; Val'!$C$39 )/'💰 FCF &amp; Val'!$C$44</f>
        <v>870.92157289417753</v>
      </c>
      <c r="G11" s="195">
        <f>( SUMPRODUCT('💰 FCF &amp; Val'!$D$11:$K$11,1/(1+$B11)^('💰 FCF &amp; Val'!$D$16:$K$16)) + ('💰 FCF &amp; Val'!$K$11*(1+G$4)/($B11+('🔑 Assumptions'!$C$76-'🔑 Assumptions'!$C$75)-G$4))/(1+$B11)^8 + '💰 FCF &amp; Val'!$C$40+'💰 FCF &amp; Val'!$C$41-'💰 FCF &amp; Val'!$C$38-'💰 FCF &amp; Val'!$C$39 )/'💰 FCF &amp; Val'!$C$44</f>
        <v>896.42534524948132</v>
      </c>
      <c r="H11" s="195">
        <f>( SUMPRODUCT('💰 FCF &amp; Val'!$D$11:$K$11,1/(1+$B11)^('💰 FCF &amp; Val'!$D$16:$K$16)) + ('💰 FCF &amp; Val'!$K$11*(1+H$4)/($B11+('🔑 Assumptions'!$C$76-'🔑 Assumptions'!$C$75)-H$4))/(1+$B11)^8 + '💰 FCF &amp; Val'!$C$40+'💰 FCF &amp; Val'!$C$41-'💰 FCF &amp; Val'!$C$38-'💰 FCF &amp; Val'!$C$39 )/'💰 FCF &amp; Val'!$C$44</f>
        <v>925.08502683088034</v>
      </c>
      <c r="I11" s="195">
        <f>( SUMPRODUCT('💰 FCF &amp; Val'!$D$11:$K$11,1/(1+$B11)^('💰 FCF &amp; Val'!$D$16:$K$16)) + ('💰 FCF &amp; Val'!$K$11*(1+I$4)/($B11+('🔑 Assumptions'!$C$76-'🔑 Assumptions'!$C$75)-I$4))/(1+$B11)^8 + '💰 FCF &amp; Val'!$C$40+'💰 FCF &amp; Val'!$C$41-'💰 FCF &amp; Val'!$C$38-'💰 FCF &amp; Val'!$C$39 )/'💰 FCF &amp; Val'!$C$44</f>
        <v>957.52503285067667</v>
      </c>
    </row>
    <row r="12" spans="2:12" ht="19.5" customHeight="1" x14ac:dyDescent="0.2">
      <c r="B12" s="194">
        <v>0.15</v>
      </c>
      <c r="C12" s="195">
        <f>( SUMPRODUCT('💰 FCF &amp; Val'!$D$11:$K$11,1/(1+$B12)^('💰 FCF &amp; Val'!$D$16:$K$16)) + ('💰 FCF &amp; Val'!$K$11*(1+C$4)/($B12+('🔑 Assumptions'!$C$76-'🔑 Assumptions'!$C$75)-C$4))/(1+$B12)^8 + '💰 FCF &amp; Val'!$C$40+'💰 FCF &amp; Val'!$C$41-'💰 FCF &amp; Val'!$C$38-'💰 FCF &amp; Val'!$C$39 )/'💰 FCF &amp; Val'!$C$44</f>
        <v>719.64980136274551</v>
      </c>
      <c r="D12" s="195">
        <f>( SUMPRODUCT('💰 FCF &amp; Val'!$D$11:$K$11,1/(1+$B12)^('💰 FCF &amp; Val'!$D$16:$K$16)) + ('💰 FCF &amp; Val'!$K$11*(1+D$4)/($B12+('🔑 Assumptions'!$C$76-'🔑 Assumptions'!$C$75)-D$4))/(1+$B12)^8 + '💰 FCF &amp; Val'!$C$40+'💰 FCF &amp; Val'!$C$41-'💰 FCF &amp; Val'!$C$38-'💰 FCF &amp; Val'!$C$39 )/'💰 FCF &amp; Val'!$C$44</f>
        <v>745.31129740642928</v>
      </c>
      <c r="E12" s="195">
        <f>( SUMPRODUCT('💰 FCF &amp; Val'!$D$11:$K$11,1/(1+$B12)^('💰 FCF &amp; Val'!$D$16:$K$16)) + ('💰 FCF &amp; Val'!$K$11*(1+E$4)/($B12+('🔑 Assumptions'!$C$76-'🔑 Assumptions'!$C$75)-E$4))/(1+$B12)^8 + '💰 FCF &amp; Val'!$C$40+'💰 FCF &amp; Val'!$C$41-'💰 FCF &amp; Val'!$C$38-'💰 FCF &amp; Val'!$C$39 )/'💰 FCF &amp; Val'!$C$44</f>
        <v>775.82315306900216</v>
      </c>
      <c r="F12" s="195">
        <f>( SUMPRODUCT('💰 FCF &amp; Val'!$D$11:$K$11,1/(1+$B12)^('💰 FCF &amp; Val'!$D$16:$K$16)) + ('💰 FCF &amp; Val'!$K$11*(1+F$4)/($B12+('🔑 Assumptions'!$C$76-'🔑 Assumptions'!$C$75)-F$4))/(1+$B12)^8 + '💰 FCF &amp; Val'!$C$40+'💰 FCF &amp; Val'!$C$41-'💰 FCF &amp; Val'!$C$38-'💰 FCF &amp; Val'!$C$39 )/'💰 FCF &amp; Val'!$C$44</f>
        <v>793.34902099129863</v>
      </c>
      <c r="G12" s="195">
        <f>( SUMPRODUCT('💰 FCF &amp; Val'!$D$11:$K$11,1/(1+$B12)^('💰 FCF &amp; Val'!$D$16:$K$16)) + ('💰 FCF &amp; Val'!$K$11*(1+G$4)/($B12+('🔑 Assumptions'!$C$76-'🔑 Assumptions'!$C$75)-G$4))/(1+$B12)^8 + '💰 FCF &amp; Val'!$C$40+'💰 FCF &amp; Val'!$C$41-'💰 FCF &amp; Val'!$C$38-'💰 FCF &amp; Val'!$C$39 )/'💰 FCF &amp; Val'!$C$44</f>
        <v>812.70406788498121</v>
      </c>
      <c r="H12" s="195">
        <f>( SUMPRODUCT('💰 FCF &amp; Val'!$D$11:$K$11,1/(1+$B12)^('💰 FCF &amp; Val'!$D$16:$K$16)) + ('💰 FCF &amp; Val'!$K$11*(1+H$4)/($B12+('🔑 Assumptions'!$C$76-'🔑 Assumptions'!$C$75)-H$4))/(1+$B12)^8 + '💰 FCF &amp; Val'!$C$40+'💰 FCF &amp; Val'!$C$41-'💰 FCF &amp; Val'!$C$38-'💰 FCF &amp; Val'!$C$39 )/'💰 FCF &amp; Val'!$C$44</f>
        <v>834.19042844625596</v>
      </c>
      <c r="I12" s="195">
        <f>( SUMPRODUCT('💰 FCF &amp; Val'!$D$11:$K$11,1/(1+$B12)^('💰 FCF &amp; Val'!$D$16:$K$16)) + ('💰 FCF &amp; Val'!$K$11*(1+I$4)/($B12+('🔑 Assumptions'!$C$76-'🔑 Assumptions'!$C$75)-I$4))/(1+$B12)^8 + '💰 FCF &amp; Val'!$C$40+'💰 FCF &amp; Val'!$C$41-'💰 FCF &amp; Val'!$C$38-'💰 FCF &amp; Val'!$C$39 )/'💰 FCF &amp; Val'!$C$44</f>
        <v>858.1806545700847</v>
      </c>
    </row>
    <row r="13" spans="2:12" ht="21.75" customHeight="1" x14ac:dyDescent="0.2">
      <c r="B13" s="227" t="s">
        <v>440</v>
      </c>
      <c r="C13" s="227"/>
      <c r="D13" s="227"/>
      <c r="E13" s="227"/>
      <c r="F13" s="227"/>
      <c r="G13" s="227"/>
      <c r="H13" s="227"/>
      <c r="I13" s="227"/>
    </row>
    <row r="14" spans="2:12" ht="21.75" customHeight="1" x14ac:dyDescent="0.2">
      <c r="B14" s="228" t="s">
        <v>441</v>
      </c>
      <c r="C14" s="228"/>
      <c r="D14" s="228"/>
      <c r="E14" s="228"/>
      <c r="F14" s="228"/>
      <c r="G14" s="228"/>
      <c r="H14" s="228"/>
      <c r="I14" s="228"/>
    </row>
    <row r="15" spans="2:12" ht="21.75" customHeight="1" x14ac:dyDescent="0.2">
      <c r="B15" s="12" t="s">
        <v>442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2:12" ht="21.75" customHeight="1" x14ac:dyDescent="0.2"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</row>
    <row r="17" spans="2:12" ht="21.75" customHeight="1" x14ac:dyDescent="0.2"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</row>
    <row r="18" spans="2:12" ht="21.75" customHeight="1" x14ac:dyDescent="0.2"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</row>
    <row r="19" spans="2:12" ht="21.75" customHeight="1" x14ac:dyDescent="0.2"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</row>
    <row r="20" spans="2:12" ht="21.75" customHeight="1" x14ac:dyDescent="0.2"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</row>
    <row r="21" spans="2:12" ht="21.75" customHeight="1" x14ac:dyDescent="0.2"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</row>
  </sheetData>
  <mergeCells count="11">
    <mergeCell ref="B21:L21"/>
    <mergeCell ref="B16:L16"/>
    <mergeCell ref="B17:L17"/>
    <mergeCell ref="B18:L18"/>
    <mergeCell ref="B19:L19"/>
    <mergeCell ref="B20:L20"/>
    <mergeCell ref="B1:L1"/>
    <mergeCell ref="B3:L3"/>
    <mergeCell ref="B13:I13"/>
    <mergeCell ref="B14:I14"/>
    <mergeCell ref="B15:K15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00000000-000E-0000-0600-000002000000}">
            <xm:f>'💰 FCF &amp; Val'!$C$46</xm:f>
            <x14:dxf>
              <fill>
                <patternFill>
                  <bgColor rgb="FFC6EFCE"/>
                </patternFill>
              </fill>
            </x14:dxf>
          </x14:cfRule>
          <xm:sqref>C5:I12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72"/>
  <sheetViews>
    <sheetView showGridLines="0" topLeftCell="A5" zoomScaleNormal="100" workbookViewId="0">
      <pane xSplit="2" ySplit="11" topLeftCell="C151" activePane="bottomRight" state="frozen"/>
      <selection activeCell="A5" sqref="A5"/>
      <selection pane="topRight" activeCell="C5" sqref="C5"/>
      <selection pane="bottomLeft" activeCell="A16" sqref="A16"/>
      <selection pane="bottomRight" activeCell="D9" sqref="D9"/>
    </sheetView>
  </sheetViews>
  <sheetFormatPr baseColWidth="10" defaultColWidth="8.6640625" defaultRowHeight="15" x14ac:dyDescent="0.2"/>
  <cols>
    <col min="1" max="1" width="2" customWidth="1"/>
    <col min="2" max="2" width="18" customWidth="1"/>
    <col min="3" max="6" width="16" customWidth="1"/>
    <col min="7" max="7" width="36" customWidth="1"/>
  </cols>
  <sheetData>
    <row r="1" spans="2:7" ht="27.75" customHeight="1" x14ac:dyDescent="0.2">
      <c r="B1" s="12" t="s">
        <v>443</v>
      </c>
      <c r="C1" s="12"/>
      <c r="D1" s="12"/>
      <c r="E1" s="12"/>
      <c r="F1" s="12"/>
    </row>
    <row r="4" spans="2:7" ht="21.75" customHeight="1" x14ac:dyDescent="0.2">
      <c r="B4" s="1" t="s">
        <v>444</v>
      </c>
      <c r="C4" s="1"/>
      <c r="D4" s="1"/>
      <c r="E4" s="1"/>
      <c r="F4" s="1"/>
      <c r="G4" s="1"/>
    </row>
    <row r="5" spans="2:7" ht="18" customHeight="1" x14ac:dyDescent="0.2">
      <c r="B5" s="144" t="s">
        <v>306</v>
      </c>
      <c r="C5" s="28" t="s">
        <v>257</v>
      </c>
      <c r="G5" s="144" t="s">
        <v>445</v>
      </c>
    </row>
    <row r="6" spans="2:7" ht="30" customHeight="1" x14ac:dyDescent="0.2">
      <c r="B6" s="147" t="s">
        <v>446</v>
      </c>
      <c r="C6" s="196">
        <f>SLOPE(F17:F172,E17:E172)</f>
        <v>0.91809062572967104</v>
      </c>
      <c r="D6" s="172"/>
      <c r="E6" s="172"/>
      <c r="F6" s="172"/>
      <c r="G6" s="56" t="s">
        <v>447</v>
      </c>
    </row>
    <row r="7" spans="2:7" ht="30" customHeight="1" x14ac:dyDescent="0.2">
      <c r="B7" s="147" t="s">
        <v>448</v>
      </c>
      <c r="C7" s="196" t="str">
        <f>B6</f>
        <v>Calculated Beta  (Raw)</v>
      </c>
      <c r="D7" s="172"/>
      <c r="E7" s="172"/>
      <c r="F7" s="172"/>
      <c r="G7" s="56" t="s">
        <v>449</v>
      </c>
    </row>
    <row r="8" spans="2:7" ht="30" customHeight="1" x14ac:dyDescent="0.2">
      <c r="B8" s="147" t="s">
        <v>450</v>
      </c>
      <c r="C8" s="197">
        <f>COUNTA(B16:B172)</f>
        <v>157</v>
      </c>
      <c r="D8" s="172"/>
      <c r="E8" s="172"/>
      <c r="F8" s="172"/>
      <c r="G8" s="56" t="s">
        <v>451</v>
      </c>
    </row>
    <row r="9" spans="2:7" ht="30" customHeight="1" x14ac:dyDescent="0.2">
      <c r="B9" s="147" t="s">
        <v>452</v>
      </c>
      <c r="C9" s="198">
        <f>IFERROR(RSQ(F17:F172,E17:E172),0)</f>
        <v>0.17928748984973439</v>
      </c>
      <c r="D9" s="172"/>
      <c r="E9" s="172"/>
      <c r="F9" s="172"/>
      <c r="G9" s="56" t="s">
        <v>453</v>
      </c>
    </row>
    <row r="11" spans="2:7" ht="15" customHeight="1" x14ac:dyDescent="0.2">
      <c r="B11" s="199"/>
      <c r="C11" s="200"/>
      <c r="D11" s="201"/>
    </row>
    <row r="12" spans="2:7" ht="15" customHeight="1" x14ac:dyDescent="0.2">
      <c r="B12" s="199"/>
      <c r="C12" s="200"/>
      <c r="D12" s="201"/>
    </row>
    <row r="13" spans="2:7" ht="45" customHeight="1" x14ac:dyDescent="0.2">
      <c r="B13" s="230" t="s">
        <v>454</v>
      </c>
      <c r="C13" s="230"/>
      <c r="D13" s="230"/>
      <c r="E13" s="230"/>
      <c r="F13" s="230"/>
      <c r="G13" s="230"/>
    </row>
    <row r="14" spans="2:7" ht="19.5" customHeight="1" x14ac:dyDescent="0.2">
      <c r="B14" s="202" t="s">
        <v>455</v>
      </c>
      <c r="C14" s="203" t="s">
        <v>456</v>
      </c>
      <c r="D14" s="204" t="s">
        <v>457</v>
      </c>
      <c r="E14" s="145" t="s">
        <v>458</v>
      </c>
      <c r="F14" s="145" t="s">
        <v>459</v>
      </c>
    </row>
    <row r="15" spans="2:7" ht="45" customHeight="1" x14ac:dyDescent="0.2">
      <c r="B15" s="230" t="s">
        <v>454</v>
      </c>
      <c r="C15" s="230"/>
      <c r="D15" s="230"/>
      <c r="E15" s="230"/>
      <c r="F15" s="230"/>
    </row>
    <row r="16" spans="2:7" ht="15" customHeight="1" x14ac:dyDescent="0.2">
      <c r="B16" s="199" t="s">
        <v>460</v>
      </c>
      <c r="C16" s="200">
        <v>24031.7</v>
      </c>
      <c r="D16" s="205">
        <v>1165.2</v>
      </c>
      <c r="E16" s="206" t="s">
        <v>173</v>
      </c>
      <c r="F16" s="206" t="s">
        <v>173</v>
      </c>
      <c r="G16" s="207"/>
    </row>
    <row r="17" spans="2:6" ht="15" customHeight="1" x14ac:dyDescent="0.2">
      <c r="B17" s="199" t="s">
        <v>461</v>
      </c>
      <c r="C17" s="200">
        <v>23719.3</v>
      </c>
      <c r="D17" s="205">
        <v>1164</v>
      </c>
      <c r="E17" s="208">
        <f t="shared" ref="E17:E48" si="0">C17/C16-1</f>
        <v>-1.2999496498375174E-2</v>
      </c>
      <c r="F17" s="208">
        <f t="shared" ref="F17:F48" si="1">D17/D16-1</f>
        <v>-1.029866117404743E-3</v>
      </c>
    </row>
    <row r="18" spans="2:6" ht="15" customHeight="1" x14ac:dyDescent="0.2">
      <c r="B18" s="209">
        <v>46300</v>
      </c>
      <c r="C18" s="200">
        <v>23643.5</v>
      </c>
      <c r="D18" s="205">
        <v>1132.5999999999999</v>
      </c>
      <c r="E18" s="208">
        <f t="shared" si="0"/>
        <v>-3.1957098228024838E-3</v>
      </c>
      <c r="F18" s="208">
        <f t="shared" si="1"/>
        <v>-2.6975945017182257E-2</v>
      </c>
    </row>
    <row r="19" spans="2:6" ht="15" customHeight="1" x14ac:dyDescent="0.2">
      <c r="B19" s="209">
        <v>46086</v>
      </c>
      <c r="C19" s="200">
        <v>24176.15</v>
      </c>
      <c r="D19" s="205">
        <v>1198.4000000000001</v>
      </c>
      <c r="E19" s="208">
        <f t="shared" si="0"/>
        <v>2.2528390466724613E-2</v>
      </c>
      <c r="F19" s="208">
        <f t="shared" si="1"/>
        <v>5.8096415327565154E-2</v>
      </c>
    </row>
    <row r="20" spans="2:6" ht="15" customHeight="1" x14ac:dyDescent="0.2">
      <c r="B20" s="199" t="s">
        <v>462</v>
      </c>
      <c r="C20" s="200">
        <v>23997.55</v>
      </c>
      <c r="D20" s="205">
        <v>1199.0999999999999</v>
      </c>
      <c r="E20" s="208">
        <f t="shared" si="0"/>
        <v>-7.3874458919225283E-3</v>
      </c>
      <c r="F20" s="208">
        <f t="shared" si="1"/>
        <v>5.8411214953246748E-4</v>
      </c>
    </row>
    <row r="21" spans="2:6" ht="15" customHeight="1" x14ac:dyDescent="0.2">
      <c r="B21" s="199" t="s">
        <v>463</v>
      </c>
      <c r="C21" s="200">
        <v>23897.95</v>
      </c>
      <c r="D21" s="205">
        <v>1203.2</v>
      </c>
      <c r="E21" s="208">
        <f t="shared" si="0"/>
        <v>-4.1504236890849144E-3</v>
      </c>
      <c r="F21" s="208">
        <f t="shared" si="1"/>
        <v>3.4192310899843203E-3</v>
      </c>
    </row>
    <row r="22" spans="2:6" ht="15" customHeight="1" x14ac:dyDescent="0.2">
      <c r="B22" s="209">
        <v>46360</v>
      </c>
      <c r="C22" s="200">
        <v>24353.55</v>
      </c>
      <c r="D22" s="205">
        <v>1442.3</v>
      </c>
      <c r="E22" s="208">
        <f t="shared" si="0"/>
        <v>1.9064396736958589E-2</v>
      </c>
      <c r="F22" s="208">
        <f t="shared" si="1"/>
        <v>0.19872007978723394</v>
      </c>
    </row>
    <row r="23" spans="2:6" ht="15" customHeight="1" x14ac:dyDescent="0.2">
      <c r="B23" s="209">
        <v>46146</v>
      </c>
      <c r="C23" s="200">
        <v>24050.6</v>
      </c>
      <c r="D23" s="205">
        <v>1451.2</v>
      </c>
      <c r="E23" s="208">
        <f t="shared" si="0"/>
        <v>-1.2439664853789334E-2</v>
      </c>
      <c r="F23" s="208">
        <f t="shared" si="1"/>
        <v>6.170699577064509E-3</v>
      </c>
    </row>
    <row r="24" spans="2:6" ht="15" customHeight="1" x14ac:dyDescent="0.2">
      <c r="B24" s="199" t="s">
        <v>464</v>
      </c>
      <c r="C24" s="200">
        <v>22713.1</v>
      </c>
      <c r="D24" s="205">
        <v>1402.2</v>
      </c>
      <c r="E24" s="208">
        <f t="shared" si="0"/>
        <v>-5.5611918205782818E-2</v>
      </c>
      <c r="F24" s="208">
        <f t="shared" si="1"/>
        <v>-3.3765159867695682E-2</v>
      </c>
    </row>
    <row r="25" spans="2:6" ht="15" customHeight="1" x14ac:dyDescent="0.2">
      <c r="B25" s="199" t="s">
        <v>465</v>
      </c>
      <c r="C25" s="200">
        <v>22819.599999999999</v>
      </c>
      <c r="D25" s="205">
        <v>1364.4</v>
      </c>
      <c r="E25" s="208">
        <f t="shared" si="0"/>
        <v>4.6889240130145726E-3</v>
      </c>
      <c r="F25" s="208">
        <f t="shared" si="1"/>
        <v>-2.695763799743256E-2</v>
      </c>
    </row>
    <row r="26" spans="2:6" ht="15" customHeight="1" x14ac:dyDescent="0.2">
      <c r="B26" s="199" t="s">
        <v>466</v>
      </c>
      <c r="C26" s="200">
        <v>23114.5</v>
      </c>
      <c r="D26" s="205">
        <v>1333.7</v>
      </c>
      <c r="E26" s="208">
        <f t="shared" si="0"/>
        <v>1.2923101193710762E-2</v>
      </c>
      <c r="F26" s="208">
        <f t="shared" si="1"/>
        <v>-2.250073292289656E-2</v>
      </c>
    </row>
    <row r="27" spans="2:6" ht="15" customHeight="1" x14ac:dyDescent="0.2">
      <c r="B27" s="209">
        <v>46237</v>
      </c>
      <c r="C27" s="200">
        <v>23151.1</v>
      </c>
      <c r="D27" s="205">
        <v>1325.4</v>
      </c>
      <c r="E27" s="208">
        <f t="shared" si="0"/>
        <v>1.5834216617274244E-3</v>
      </c>
      <c r="F27" s="208">
        <f t="shared" si="1"/>
        <v>-6.223288595636145E-3</v>
      </c>
    </row>
    <row r="28" spans="2:6" ht="15" customHeight="1" x14ac:dyDescent="0.2">
      <c r="B28" s="209">
        <v>46025</v>
      </c>
      <c r="C28" s="200">
        <v>24450.45</v>
      </c>
      <c r="D28" s="205">
        <v>1356.7</v>
      </c>
      <c r="E28" s="208">
        <f t="shared" si="0"/>
        <v>5.6124762970226172E-2</v>
      </c>
      <c r="F28" s="208">
        <f t="shared" si="1"/>
        <v>2.3615512298174046E-2</v>
      </c>
    </row>
    <row r="29" spans="2:6" ht="15" customHeight="1" x14ac:dyDescent="0.2">
      <c r="B29" s="199" t="s">
        <v>467</v>
      </c>
      <c r="C29" s="200">
        <v>25178.65</v>
      </c>
      <c r="D29" s="205">
        <v>1389.1</v>
      </c>
      <c r="E29" s="208">
        <f t="shared" si="0"/>
        <v>2.9782682936305926E-2</v>
      </c>
      <c r="F29" s="208">
        <f t="shared" si="1"/>
        <v>2.3881477113584237E-2</v>
      </c>
    </row>
    <row r="30" spans="2:6" ht="15" customHeight="1" x14ac:dyDescent="0.2">
      <c r="B30" s="199" t="s">
        <v>468</v>
      </c>
      <c r="C30" s="200">
        <v>25571.25</v>
      </c>
      <c r="D30" s="205">
        <v>1436.5</v>
      </c>
      <c r="E30" s="208">
        <f t="shared" si="0"/>
        <v>1.5592575455792845E-2</v>
      </c>
      <c r="F30" s="208">
        <f t="shared" si="1"/>
        <v>3.4122813332373436E-2</v>
      </c>
    </row>
    <row r="31" spans="2:6" ht="15" customHeight="1" x14ac:dyDescent="0.2">
      <c r="B31" s="209">
        <v>46236</v>
      </c>
      <c r="C31" s="200">
        <v>25471.1</v>
      </c>
      <c r="D31" s="205">
        <v>1455.2</v>
      </c>
      <c r="E31" s="208">
        <f t="shared" si="0"/>
        <v>-3.9165077968421613E-3</v>
      </c>
      <c r="F31" s="208">
        <f t="shared" si="1"/>
        <v>1.3017751479289963E-2</v>
      </c>
    </row>
    <row r="32" spans="2:6" ht="15" customHeight="1" x14ac:dyDescent="0.2">
      <c r="B32" s="209">
        <v>46024</v>
      </c>
      <c r="C32" s="200">
        <v>25693.7</v>
      </c>
      <c r="D32" s="205">
        <v>1593.7</v>
      </c>
      <c r="E32" s="208">
        <f t="shared" si="0"/>
        <v>8.7393163232056814E-3</v>
      </c>
      <c r="F32" s="208">
        <f t="shared" si="1"/>
        <v>9.5175920835623984E-2</v>
      </c>
    </row>
    <row r="33" spans="2:6" ht="15" customHeight="1" x14ac:dyDescent="0.2">
      <c r="B33" s="199" t="s">
        <v>469</v>
      </c>
      <c r="C33" s="200">
        <v>25320.65</v>
      </c>
      <c r="D33" s="205">
        <v>1695.6</v>
      </c>
      <c r="E33" s="208">
        <f t="shared" si="0"/>
        <v>-1.4519123364871489E-2</v>
      </c>
      <c r="F33" s="208">
        <f t="shared" si="1"/>
        <v>6.39392608395557E-2</v>
      </c>
    </row>
    <row r="34" spans="2:6" ht="15" customHeight="1" x14ac:dyDescent="0.2">
      <c r="B34" s="199" t="s">
        <v>470</v>
      </c>
      <c r="C34" s="200">
        <v>25048.65</v>
      </c>
      <c r="D34" s="205">
        <v>1707</v>
      </c>
      <c r="E34" s="208">
        <f t="shared" si="0"/>
        <v>-1.0742220282654702E-2</v>
      </c>
      <c r="F34" s="208">
        <f t="shared" si="1"/>
        <v>6.7232837933475231E-3</v>
      </c>
    </row>
    <row r="35" spans="2:6" ht="15" customHeight="1" x14ac:dyDescent="0.2">
      <c r="B35" s="209">
        <v>46327</v>
      </c>
      <c r="C35" s="200">
        <v>25694.35</v>
      </c>
      <c r="D35" s="205">
        <v>1698</v>
      </c>
      <c r="E35" s="208">
        <f t="shared" si="0"/>
        <v>2.5777836330500792E-2</v>
      </c>
      <c r="F35" s="208">
        <f t="shared" si="1"/>
        <v>-5.2724077328646368E-3</v>
      </c>
    </row>
    <row r="36" spans="2:6" ht="15" customHeight="1" x14ac:dyDescent="0.2">
      <c r="B36" s="209">
        <v>46113</v>
      </c>
      <c r="C36" s="200">
        <v>25683.3</v>
      </c>
      <c r="D36" s="205">
        <v>1661.4</v>
      </c>
      <c r="E36" s="208">
        <f t="shared" si="0"/>
        <v>-4.3005563479903142E-4</v>
      </c>
      <c r="F36" s="208">
        <f t="shared" si="1"/>
        <v>-2.155477031802111E-2</v>
      </c>
    </row>
    <row r="37" spans="2:6" ht="15" customHeight="1" x14ac:dyDescent="0.2">
      <c r="B37" s="199" t="s">
        <v>471</v>
      </c>
      <c r="C37" s="200">
        <v>26328.55</v>
      </c>
      <c r="D37" s="205">
        <v>1640.2</v>
      </c>
      <c r="E37" s="208">
        <f t="shared" si="0"/>
        <v>2.5123329167201947E-2</v>
      </c>
      <c r="F37" s="208">
        <f t="shared" si="1"/>
        <v>-1.2760322619477571E-2</v>
      </c>
    </row>
    <row r="38" spans="2:6" ht="15" customHeight="1" x14ac:dyDescent="0.2">
      <c r="B38" s="199" t="s">
        <v>472</v>
      </c>
      <c r="C38" s="200">
        <v>26042.3</v>
      </c>
      <c r="D38" s="205">
        <v>1660.9</v>
      </c>
      <c r="E38" s="208">
        <f t="shared" si="0"/>
        <v>-1.0872228056615363E-2</v>
      </c>
      <c r="F38" s="208">
        <f t="shared" si="1"/>
        <v>1.2620412144860316E-2</v>
      </c>
    </row>
    <row r="39" spans="2:6" ht="15" customHeight="1" x14ac:dyDescent="0.2">
      <c r="B39" s="199" t="s">
        <v>473</v>
      </c>
      <c r="C39" s="200">
        <v>25966.400000000001</v>
      </c>
      <c r="D39" s="205">
        <v>1642.4</v>
      </c>
      <c r="E39" s="208">
        <f t="shared" si="0"/>
        <v>-2.9144891196245526E-3</v>
      </c>
      <c r="F39" s="208">
        <f t="shared" si="1"/>
        <v>-1.1138539346137621E-2</v>
      </c>
    </row>
    <row r="40" spans="2:6" ht="15" customHeight="1" x14ac:dyDescent="0.2">
      <c r="B40" s="209">
        <v>45850</v>
      </c>
      <c r="C40" s="200">
        <v>26046.95</v>
      </c>
      <c r="D40" s="205">
        <v>1673.2</v>
      </c>
      <c r="E40" s="208">
        <f t="shared" si="0"/>
        <v>3.10208577238269E-3</v>
      </c>
      <c r="F40" s="208">
        <f t="shared" si="1"/>
        <v>1.8753044325377388E-2</v>
      </c>
    </row>
    <row r="41" spans="2:6" ht="15" customHeight="1" x14ac:dyDescent="0.2">
      <c r="B41" s="199" t="s">
        <v>474</v>
      </c>
      <c r="C41" s="200">
        <v>26186.45</v>
      </c>
      <c r="D41" s="205">
        <v>1683</v>
      </c>
      <c r="E41" s="208">
        <f t="shared" si="0"/>
        <v>5.3557134328587885E-3</v>
      </c>
      <c r="F41" s="208">
        <f t="shared" si="1"/>
        <v>5.8570404016256017E-3</v>
      </c>
    </row>
    <row r="42" spans="2:6" ht="15" customHeight="1" x14ac:dyDescent="0.2">
      <c r="B42" s="199" t="s">
        <v>475</v>
      </c>
      <c r="C42" s="200">
        <v>26202.95</v>
      </c>
      <c r="D42" s="205">
        <v>1624.2</v>
      </c>
      <c r="E42" s="208">
        <f t="shared" si="0"/>
        <v>6.3009686307236024E-4</v>
      </c>
      <c r="F42" s="208">
        <f t="shared" si="1"/>
        <v>-3.493761140819962E-2</v>
      </c>
    </row>
    <row r="43" spans="2:6" ht="15" customHeight="1" x14ac:dyDescent="0.2">
      <c r="B43" s="199" t="s">
        <v>476</v>
      </c>
      <c r="C43" s="200">
        <v>26068.15</v>
      </c>
      <c r="D43" s="205">
        <v>1608</v>
      </c>
      <c r="E43" s="208">
        <f t="shared" si="0"/>
        <v>-5.144458925426254E-3</v>
      </c>
      <c r="F43" s="208">
        <f t="shared" si="1"/>
        <v>-9.9741411156262227E-3</v>
      </c>
    </row>
    <row r="44" spans="2:6" ht="15" customHeight="1" x14ac:dyDescent="0.2">
      <c r="B44" s="209">
        <v>45911</v>
      </c>
      <c r="C44" s="200">
        <v>25910.05</v>
      </c>
      <c r="D44" s="205">
        <v>1594.6</v>
      </c>
      <c r="E44" s="208">
        <f t="shared" si="0"/>
        <v>-6.0648722674989664E-3</v>
      </c>
      <c r="F44" s="208">
        <f t="shared" si="1"/>
        <v>-8.3333333333334147E-3</v>
      </c>
    </row>
    <row r="45" spans="2:6" ht="15" customHeight="1" x14ac:dyDescent="0.2">
      <c r="B45" s="209">
        <v>45699</v>
      </c>
      <c r="C45" s="200">
        <v>25492.3</v>
      </c>
      <c r="D45" s="205">
        <v>1512.4</v>
      </c>
      <c r="E45" s="208">
        <f t="shared" si="0"/>
        <v>-1.6123087373432266E-2</v>
      </c>
      <c r="F45" s="208">
        <f t="shared" si="1"/>
        <v>-5.1548977800075169E-2</v>
      </c>
    </row>
    <row r="46" spans="2:6" ht="15" customHeight="1" x14ac:dyDescent="0.2">
      <c r="B46" s="199" t="s">
        <v>477</v>
      </c>
      <c r="C46" s="200">
        <v>25722.1</v>
      </c>
      <c r="D46" s="205">
        <v>1541.5</v>
      </c>
      <c r="E46" s="208">
        <f t="shared" si="0"/>
        <v>9.0144867273647122E-3</v>
      </c>
      <c r="F46" s="208">
        <f t="shared" si="1"/>
        <v>1.9240941549854451E-2</v>
      </c>
    </row>
    <row r="47" spans="2:6" ht="15" customHeight="1" x14ac:dyDescent="0.2">
      <c r="B47" s="199" t="s">
        <v>478</v>
      </c>
      <c r="C47" s="200">
        <v>25795.15</v>
      </c>
      <c r="D47" s="205">
        <v>1523.8</v>
      </c>
      <c r="E47" s="208">
        <f t="shared" si="0"/>
        <v>2.839970297915162E-3</v>
      </c>
      <c r="F47" s="208">
        <f t="shared" si="1"/>
        <v>-1.1482322413233881E-2</v>
      </c>
    </row>
    <row r="48" spans="2:6" ht="15" customHeight="1" x14ac:dyDescent="0.2">
      <c r="B48" s="209">
        <v>46001</v>
      </c>
      <c r="C48" s="200">
        <v>25709.85</v>
      </c>
      <c r="D48" s="205">
        <v>1486.2</v>
      </c>
      <c r="E48" s="208">
        <f t="shared" si="0"/>
        <v>-3.3068231818773608E-3</v>
      </c>
      <c r="F48" s="208">
        <f t="shared" si="1"/>
        <v>-2.467515421971378E-2</v>
      </c>
    </row>
    <row r="49" spans="2:6" ht="15" customHeight="1" x14ac:dyDescent="0.2">
      <c r="B49" s="209">
        <v>45787</v>
      </c>
      <c r="C49" s="200">
        <v>25285.35</v>
      </c>
      <c r="D49" s="205">
        <v>1495.5</v>
      </c>
      <c r="E49" s="208">
        <f t="shared" ref="E49:E80" si="2">C49/C48-1</f>
        <v>-1.6511181512144146E-2</v>
      </c>
      <c r="F49" s="208">
        <f t="shared" ref="F49:F80" si="3">D49/D48-1</f>
        <v>6.2575696406943493E-3</v>
      </c>
    </row>
    <row r="50" spans="2:6" ht="15" customHeight="1" x14ac:dyDescent="0.2">
      <c r="B50" s="199" t="s">
        <v>479</v>
      </c>
      <c r="C50" s="200">
        <v>24894.25</v>
      </c>
      <c r="D50" s="205">
        <v>1393.5</v>
      </c>
      <c r="E50" s="208">
        <f t="shared" si="2"/>
        <v>-1.5467454474626607E-2</v>
      </c>
      <c r="F50" s="208">
        <f t="shared" si="3"/>
        <v>-6.8204613841524542E-2</v>
      </c>
    </row>
    <row r="51" spans="2:6" ht="15" customHeight="1" x14ac:dyDescent="0.2">
      <c r="B51" s="199" t="s">
        <v>480</v>
      </c>
      <c r="C51" s="200">
        <v>24654.7</v>
      </c>
      <c r="D51" s="205">
        <v>1395.3</v>
      </c>
      <c r="E51" s="208">
        <f t="shared" si="2"/>
        <v>-9.6227040380810758E-3</v>
      </c>
      <c r="F51" s="208">
        <f t="shared" si="3"/>
        <v>1.2917115177610849E-3</v>
      </c>
    </row>
    <row r="52" spans="2:6" ht="15" customHeight="1" x14ac:dyDescent="0.2">
      <c r="B52" s="199" t="s">
        <v>481</v>
      </c>
      <c r="C52" s="200">
        <v>25327.05</v>
      </c>
      <c r="D52" s="205">
        <v>1467.4</v>
      </c>
      <c r="E52" s="208">
        <f t="shared" si="2"/>
        <v>2.7270662388915623E-2</v>
      </c>
      <c r="F52" s="208">
        <f t="shared" si="3"/>
        <v>5.1673475238300126E-2</v>
      </c>
    </row>
    <row r="53" spans="2:6" ht="15" customHeight="1" x14ac:dyDescent="0.2">
      <c r="B53" s="209">
        <v>45847</v>
      </c>
      <c r="C53" s="200">
        <v>25114</v>
      </c>
      <c r="D53" s="205">
        <v>1467.2</v>
      </c>
      <c r="E53" s="208">
        <f t="shared" si="2"/>
        <v>-8.4119548072120187E-3</v>
      </c>
      <c r="F53" s="208">
        <f t="shared" si="3"/>
        <v>-1.3629548861937568E-4</v>
      </c>
    </row>
    <row r="54" spans="2:6" ht="15" customHeight="1" x14ac:dyDescent="0.2">
      <c r="B54" s="199" t="s">
        <v>482</v>
      </c>
      <c r="C54" s="200">
        <v>24741</v>
      </c>
      <c r="D54" s="205">
        <v>1419</v>
      </c>
      <c r="E54" s="208">
        <f t="shared" si="2"/>
        <v>-1.4852273632236956E-2</v>
      </c>
      <c r="F54" s="208">
        <f t="shared" si="3"/>
        <v>-3.2851690294438463E-2</v>
      </c>
    </row>
    <row r="55" spans="2:6" ht="15" customHeight="1" x14ac:dyDescent="0.2">
      <c r="B55" s="199" t="s">
        <v>483</v>
      </c>
      <c r="C55" s="200">
        <v>24426.85</v>
      </c>
      <c r="D55" s="205">
        <v>1454.8</v>
      </c>
      <c r="E55" s="208">
        <f t="shared" si="2"/>
        <v>-1.2697546582595698E-2</v>
      </c>
      <c r="F55" s="208">
        <f t="shared" si="3"/>
        <v>2.5229034531360162E-2</v>
      </c>
    </row>
    <row r="56" spans="2:6" ht="15" customHeight="1" x14ac:dyDescent="0.2">
      <c r="B56" s="199" t="s">
        <v>484</v>
      </c>
      <c r="C56" s="200">
        <v>24870.1</v>
      </c>
      <c r="D56" s="205">
        <v>1466.3</v>
      </c>
      <c r="E56" s="208">
        <f t="shared" si="2"/>
        <v>1.8146015552557904E-2</v>
      </c>
      <c r="F56" s="208">
        <f t="shared" si="3"/>
        <v>7.9048666483365615E-3</v>
      </c>
    </row>
    <row r="57" spans="2:6" ht="15" customHeight="1" x14ac:dyDescent="0.2">
      <c r="B57" s="209">
        <v>45938</v>
      </c>
      <c r="C57" s="200">
        <v>24631.3</v>
      </c>
      <c r="D57" s="205">
        <v>1489.8</v>
      </c>
      <c r="E57" s="208">
        <f t="shared" si="2"/>
        <v>-9.6018914278591661E-3</v>
      </c>
      <c r="F57" s="208">
        <f t="shared" si="3"/>
        <v>1.6026733956216344E-2</v>
      </c>
    </row>
    <row r="58" spans="2:6" ht="15" customHeight="1" x14ac:dyDescent="0.2">
      <c r="B58" s="209">
        <v>45724</v>
      </c>
      <c r="C58" s="200">
        <v>24363.3</v>
      </c>
      <c r="D58" s="205">
        <v>1475.7</v>
      </c>
      <c r="E58" s="208">
        <f t="shared" si="2"/>
        <v>-1.0880465099284198E-2</v>
      </c>
      <c r="F58" s="208">
        <f t="shared" si="3"/>
        <v>-9.4643576318967915E-3</v>
      </c>
    </row>
    <row r="59" spans="2:6" ht="15" customHeight="1" x14ac:dyDescent="0.2">
      <c r="B59" s="199" t="s">
        <v>485</v>
      </c>
      <c r="C59" s="200">
        <v>24565.35</v>
      </c>
      <c r="D59" s="205">
        <v>1452.1</v>
      </c>
      <c r="E59" s="208">
        <f t="shared" si="2"/>
        <v>8.2932115107559046E-3</v>
      </c>
      <c r="F59" s="208">
        <f t="shared" si="3"/>
        <v>-1.5992410381514E-2</v>
      </c>
    </row>
    <row r="60" spans="2:6" ht="15" customHeight="1" x14ac:dyDescent="0.2">
      <c r="B60" s="199" t="s">
        <v>486</v>
      </c>
      <c r="C60" s="200">
        <v>24837</v>
      </c>
      <c r="D60" s="205">
        <v>1490.1</v>
      </c>
      <c r="E60" s="208">
        <f t="shared" si="2"/>
        <v>1.1058258889045103E-2</v>
      </c>
      <c r="F60" s="208">
        <f t="shared" si="3"/>
        <v>2.6168996625576701E-2</v>
      </c>
    </row>
    <row r="61" spans="2:6" ht="15" customHeight="1" x14ac:dyDescent="0.2">
      <c r="B61" s="199" t="s">
        <v>487</v>
      </c>
      <c r="C61" s="200">
        <v>24968.400000000001</v>
      </c>
      <c r="D61" s="205">
        <v>1548.8</v>
      </c>
      <c r="E61" s="208">
        <f t="shared" si="2"/>
        <v>5.2904940210170004E-3</v>
      </c>
      <c r="F61" s="208">
        <f t="shared" si="3"/>
        <v>3.9393329306757874E-2</v>
      </c>
    </row>
    <row r="62" spans="2:6" ht="15" customHeight="1" x14ac:dyDescent="0.2">
      <c r="B62" s="209">
        <v>45815</v>
      </c>
      <c r="C62" s="200">
        <v>25149.85</v>
      </c>
      <c r="D62" s="205">
        <v>1638.3</v>
      </c>
      <c r="E62" s="208">
        <f t="shared" si="2"/>
        <v>7.267185722753533E-3</v>
      </c>
      <c r="F62" s="208">
        <f t="shared" si="3"/>
        <v>5.7786673553718915E-2</v>
      </c>
    </row>
    <row r="63" spans="2:6" ht="15" customHeight="1" x14ac:dyDescent="0.2">
      <c r="B63" s="199" t="s">
        <v>488</v>
      </c>
      <c r="C63" s="200">
        <v>25461</v>
      </c>
      <c r="D63" s="205">
        <v>1725.9</v>
      </c>
      <c r="E63" s="208">
        <f t="shared" si="2"/>
        <v>1.2371843172026997E-2</v>
      </c>
      <c r="F63" s="208">
        <f t="shared" si="3"/>
        <v>5.3470060428493005E-2</v>
      </c>
    </row>
    <row r="64" spans="2:6" ht="15" customHeight="1" x14ac:dyDescent="0.2">
      <c r="B64" s="199" t="s">
        <v>489</v>
      </c>
      <c r="C64" s="200">
        <v>25637.8</v>
      </c>
      <c r="D64" s="205">
        <v>1723.3</v>
      </c>
      <c r="E64" s="208">
        <f t="shared" si="2"/>
        <v>6.9439534975059836E-3</v>
      </c>
      <c r="F64" s="208">
        <f t="shared" si="3"/>
        <v>-1.5064603974738189E-3</v>
      </c>
    </row>
    <row r="65" spans="2:6" ht="15" customHeight="1" x14ac:dyDescent="0.2">
      <c r="B65" s="199" t="s">
        <v>490</v>
      </c>
      <c r="C65" s="200">
        <v>25112.400000000001</v>
      </c>
      <c r="D65" s="205">
        <v>1739.9</v>
      </c>
      <c r="E65" s="208">
        <f t="shared" si="2"/>
        <v>-2.0493178041797622E-2</v>
      </c>
      <c r="F65" s="208">
        <f t="shared" si="3"/>
        <v>9.6326814832008445E-3</v>
      </c>
    </row>
    <row r="66" spans="2:6" ht="15" customHeight="1" x14ac:dyDescent="0.2">
      <c r="B66" s="209">
        <v>45875</v>
      </c>
      <c r="C66" s="200">
        <v>24718.6</v>
      </c>
      <c r="D66" s="205">
        <v>1695.3</v>
      </c>
      <c r="E66" s="208">
        <f t="shared" si="2"/>
        <v>-1.568149599401103E-2</v>
      </c>
      <c r="F66" s="208">
        <f t="shared" si="3"/>
        <v>-2.5633657106730379E-2</v>
      </c>
    </row>
    <row r="67" spans="2:6" ht="15" customHeight="1" x14ac:dyDescent="0.2">
      <c r="B67" s="209">
        <v>45663</v>
      </c>
      <c r="C67" s="200">
        <v>25003.05</v>
      </c>
      <c r="D67" s="205">
        <v>1637.7</v>
      </c>
      <c r="E67" s="208">
        <f t="shared" si="2"/>
        <v>1.1507528743537332E-2</v>
      </c>
      <c r="F67" s="208">
        <f t="shared" si="3"/>
        <v>-3.3976287382764037E-2</v>
      </c>
    </row>
    <row r="68" spans="2:6" ht="15" customHeight="1" x14ac:dyDescent="0.2">
      <c r="B68" s="199" t="s">
        <v>491</v>
      </c>
      <c r="C68" s="200">
        <v>24750.7</v>
      </c>
      <c r="D68" s="205">
        <v>1636.6</v>
      </c>
      <c r="E68" s="208">
        <f t="shared" si="2"/>
        <v>-1.0092768682220754E-2</v>
      </c>
      <c r="F68" s="208">
        <f t="shared" si="3"/>
        <v>-6.7167368870990618E-4</v>
      </c>
    </row>
    <row r="69" spans="2:6" ht="15" customHeight="1" x14ac:dyDescent="0.2">
      <c r="B69" s="199" t="s">
        <v>492</v>
      </c>
      <c r="C69" s="200">
        <v>24853.15</v>
      </c>
      <c r="D69" s="205">
        <v>1648.2</v>
      </c>
      <c r="E69" s="208">
        <f t="shared" si="2"/>
        <v>4.139276868937003E-3</v>
      </c>
      <c r="F69" s="208">
        <f t="shared" si="3"/>
        <v>7.0878650861543324E-3</v>
      </c>
    </row>
    <row r="70" spans="2:6" ht="15" customHeight="1" x14ac:dyDescent="0.2">
      <c r="B70" s="209">
        <v>45966</v>
      </c>
      <c r="C70" s="200">
        <v>25019.8</v>
      </c>
      <c r="D70" s="205">
        <v>1659.9</v>
      </c>
      <c r="E70" s="208">
        <f t="shared" si="2"/>
        <v>6.705387445856914E-3</v>
      </c>
      <c r="F70" s="208">
        <f t="shared" si="3"/>
        <v>7.0986530760830391E-3</v>
      </c>
    </row>
    <row r="71" spans="2:6" ht="15" customHeight="1" x14ac:dyDescent="0.2">
      <c r="B71" s="209">
        <v>45752</v>
      </c>
      <c r="C71" s="200">
        <v>24008</v>
      </c>
      <c r="D71" s="205">
        <v>1569.4</v>
      </c>
      <c r="E71" s="208">
        <f t="shared" si="2"/>
        <v>-4.0439971542538311E-2</v>
      </c>
      <c r="F71" s="208">
        <f t="shared" si="3"/>
        <v>-5.4521356708235436E-2</v>
      </c>
    </row>
    <row r="72" spans="2:6" ht="15" customHeight="1" x14ac:dyDescent="0.2">
      <c r="B72" s="199" t="s">
        <v>493</v>
      </c>
      <c r="C72" s="200">
        <v>24346.7</v>
      </c>
      <c r="D72" s="205">
        <v>1576.5</v>
      </c>
      <c r="E72" s="208">
        <f t="shared" si="2"/>
        <v>1.4107797400866318E-2</v>
      </c>
      <c r="F72" s="208">
        <f t="shared" si="3"/>
        <v>4.524021919204646E-3</v>
      </c>
    </row>
    <row r="73" spans="2:6" ht="15" customHeight="1" x14ac:dyDescent="0.2">
      <c r="B73" s="199" t="s">
        <v>494</v>
      </c>
      <c r="C73" s="200">
        <v>24039.35</v>
      </c>
      <c r="D73" s="205">
        <v>1578.2</v>
      </c>
      <c r="E73" s="208">
        <f t="shared" si="2"/>
        <v>-1.2623887426222113E-2</v>
      </c>
      <c r="F73" s="208">
        <f t="shared" si="3"/>
        <v>1.0783380907073425E-3</v>
      </c>
    </row>
    <row r="74" spans="2:6" ht="15" customHeight="1" x14ac:dyDescent="0.2">
      <c r="B74" s="199" t="s">
        <v>495</v>
      </c>
      <c r="C74" s="200">
        <v>23851.65</v>
      </c>
      <c r="D74" s="205">
        <v>1438</v>
      </c>
      <c r="E74" s="208">
        <f t="shared" si="2"/>
        <v>-7.8080314151587338E-3</v>
      </c>
      <c r="F74" s="208">
        <f t="shared" si="3"/>
        <v>-8.8835382080851621E-2</v>
      </c>
    </row>
    <row r="75" spans="2:6" ht="15" customHeight="1" x14ac:dyDescent="0.2">
      <c r="B75" s="209">
        <v>45812</v>
      </c>
      <c r="C75" s="200">
        <v>22828.55</v>
      </c>
      <c r="D75" s="205">
        <v>1390.55</v>
      </c>
      <c r="E75" s="208">
        <f t="shared" si="2"/>
        <v>-4.2894307102443685E-2</v>
      </c>
      <c r="F75" s="208">
        <f t="shared" si="3"/>
        <v>-3.2997218358831737E-2</v>
      </c>
    </row>
    <row r="76" spans="2:6" ht="15" customHeight="1" x14ac:dyDescent="0.2">
      <c r="B76" s="199" t="s">
        <v>496</v>
      </c>
      <c r="C76" s="200">
        <v>22904.45</v>
      </c>
      <c r="D76" s="205">
        <v>1422.1</v>
      </c>
      <c r="E76" s="208">
        <f t="shared" si="2"/>
        <v>3.3247840971064591E-3</v>
      </c>
      <c r="F76" s="208">
        <f t="shared" si="3"/>
        <v>2.2688864118514118E-2</v>
      </c>
    </row>
    <row r="77" spans="2:6" ht="15" customHeight="1" x14ac:dyDescent="0.2">
      <c r="B77" s="199" t="s">
        <v>497</v>
      </c>
      <c r="C77" s="200">
        <v>23519.35</v>
      </c>
      <c r="D77" s="205">
        <v>1592.5</v>
      </c>
      <c r="E77" s="208">
        <f t="shared" si="2"/>
        <v>2.6846311524616251E-2</v>
      </c>
      <c r="F77" s="208">
        <f t="shared" si="3"/>
        <v>0.11982279727164058</v>
      </c>
    </row>
    <row r="78" spans="2:6" ht="15" customHeight="1" x14ac:dyDescent="0.2">
      <c r="B78" s="199" t="s">
        <v>498</v>
      </c>
      <c r="C78" s="200">
        <v>23350.400000000001</v>
      </c>
      <c r="D78" s="205">
        <v>1566.7</v>
      </c>
      <c r="E78" s="208">
        <f t="shared" si="2"/>
        <v>-7.1834468214468927E-3</v>
      </c>
      <c r="F78" s="208">
        <f t="shared" si="3"/>
        <v>-1.6200941915227585E-2</v>
      </c>
    </row>
    <row r="79" spans="2:6" ht="15" customHeight="1" x14ac:dyDescent="0.2">
      <c r="B79" s="209">
        <v>45903</v>
      </c>
      <c r="C79" s="200">
        <v>22397.200000000001</v>
      </c>
      <c r="D79" s="205">
        <v>1534.75</v>
      </c>
      <c r="E79" s="208">
        <f t="shared" si="2"/>
        <v>-4.0821570508428162E-2</v>
      </c>
      <c r="F79" s="208">
        <f t="shared" si="3"/>
        <v>-2.039318312376337E-2</v>
      </c>
    </row>
    <row r="80" spans="2:6" ht="15" customHeight="1" x14ac:dyDescent="0.2">
      <c r="B80" s="209">
        <v>45691</v>
      </c>
      <c r="C80" s="200">
        <v>22552.5</v>
      </c>
      <c r="D80" s="205">
        <v>1557.95</v>
      </c>
      <c r="E80" s="208">
        <f t="shared" si="2"/>
        <v>6.9339024520922443E-3</v>
      </c>
      <c r="F80" s="208">
        <f t="shared" si="3"/>
        <v>1.5116468480208534E-2</v>
      </c>
    </row>
    <row r="81" spans="2:6" ht="15" customHeight="1" x14ac:dyDescent="0.2">
      <c r="B81" s="199" t="s">
        <v>499</v>
      </c>
      <c r="C81" s="200">
        <v>22124.7</v>
      </c>
      <c r="D81" s="205">
        <v>1575.05</v>
      </c>
      <c r="E81" s="208">
        <f t="shared" ref="E81:E112" si="4">C81/C80-1</f>
        <v>-1.8969072164948475E-2</v>
      </c>
      <c r="F81" s="208">
        <f t="shared" ref="F81:F112" si="5">D81/D80-1</f>
        <v>1.0975962001347872E-2</v>
      </c>
    </row>
    <row r="82" spans="2:6" ht="15" customHeight="1" x14ac:dyDescent="0.2">
      <c r="B82" s="199" t="s">
        <v>500</v>
      </c>
      <c r="C82" s="200">
        <v>22795.9</v>
      </c>
      <c r="D82" s="205">
        <v>1700.7</v>
      </c>
      <c r="E82" s="208">
        <f t="shared" si="4"/>
        <v>3.0337134514818231E-2</v>
      </c>
      <c r="F82" s="208">
        <f t="shared" si="5"/>
        <v>7.977524523031021E-2</v>
      </c>
    </row>
    <row r="83" spans="2:6" ht="15" customHeight="1" x14ac:dyDescent="0.2">
      <c r="B83" s="209">
        <v>45902</v>
      </c>
      <c r="C83" s="200">
        <v>22929.25</v>
      </c>
      <c r="D83" s="205">
        <v>1711.25</v>
      </c>
      <c r="E83" s="208">
        <f t="shared" si="4"/>
        <v>5.8497361367613188E-3</v>
      </c>
      <c r="F83" s="208">
        <f t="shared" si="5"/>
        <v>6.2033280413946734E-3</v>
      </c>
    </row>
    <row r="84" spans="2:6" ht="15" customHeight="1" x14ac:dyDescent="0.2">
      <c r="B84" s="209">
        <v>45690</v>
      </c>
      <c r="C84" s="200">
        <v>23559.95</v>
      </c>
      <c r="D84" s="205">
        <v>1725.65</v>
      </c>
      <c r="E84" s="208">
        <f t="shared" si="4"/>
        <v>2.7506351058146361E-2</v>
      </c>
      <c r="F84" s="208">
        <f t="shared" si="5"/>
        <v>8.4149013878744849E-3</v>
      </c>
    </row>
    <row r="85" spans="2:6" ht="15" customHeight="1" x14ac:dyDescent="0.2">
      <c r="B85" s="199" t="s">
        <v>501</v>
      </c>
      <c r="C85" s="200">
        <v>23508.400000000001</v>
      </c>
      <c r="D85" s="205">
        <v>1725.45</v>
      </c>
      <c r="E85" s="208">
        <f t="shared" si="4"/>
        <v>-2.188035203809835E-3</v>
      </c>
      <c r="F85" s="208">
        <f t="shared" si="5"/>
        <v>-1.1589835714076457E-4</v>
      </c>
    </row>
    <row r="86" spans="2:6" ht="15" customHeight="1" x14ac:dyDescent="0.2">
      <c r="B86" s="199" t="s">
        <v>502</v>
      </c>
      <c r="C86" s="200">
        <v>23092.2</v>
      </c>
      <c r="D86" s="205">
        <v>1792.85</v>
      </c>
      <c r="E86" s="208">
        <f t="shared" si="4"/>
        <v>-1.7704309948784247E-2</v>
      </c>
      <c r="F86" s="208">
        <f t="shared" si="5"/>
        <v>3.9062273609782983E-2</v>
      </c>
    </row>
    <row r="87" spans="2:6" ht="15" customHeight="1" x14ac:dyDescent="0.2">
      <c r="B87" s="209">
        <v>45992</v>
      </c>
      <c r="C87" s="200">
        <v>23203.200000000001</v>
      </c>
      <c r="D87" s="205">
        <v>1788.9</v>
      </c>
      <c r="E87" s="208">
        <f t="shared" si="4"/>
        <v>4.8068178865590117E-3</v>
      </c>
      <c r="F87" s="208">
        <f t="shared" si="5"/>
        <v>-2.203196028669363E-3</v>
      </c>
    </row>
    <row r="88" spans="2:6" ht="15" customHeight="1" x14ac:dyDescent="0.2">
      <c r="B88" s="209">
        <v>45778</v>
      </c>
      <c r="C88" s="200">
        <v>23431.5</v>
      </c>
      <c r="D88" s="205">
        <v>1988.42</v>
      </c>
      <c r="E88" s="208">
        <f t="shared" si="4"/>
        <v>9.8391601158460684E-3</v>
      </c>
      <c r="F88" s="208">
        <f t="shared" si="5"/>
        <v>0.11153222650790995</v>
      </c>
    </row>
    <row r="89" spans="2:6" ht="15" customHeight="1" x14ac:dyDescent="0.2">
      <c r="B89" s="199" t="s">
        <v>503</v>
      </c>
      <c r="C89" s="200">
        <v>24004.75</v>
      </c>
      <c r="D89" s="205">
        <v>1940.13</v>
      </c>
      <c r="E89" s="208">
        <f t="shared" si="4"/>
        <v>2.4464929688666981E-2</v>
      </c>
      <c r="F89" s="208">
        <f t="shared" si="5"/>
        <v>-2.4285613703342368E-2</v>
      </c>
    </row>
    <row r="90" spans="2:6" ht="15" customHeight="1" x14ac:dyDescent="0.2">
      <c r="B90" s="199" t="s">
        <v>504</v>
      </c>
      <c r="C90" s="200">
        <v>23813.4</v>
      </c>
      <c r="D90" s="205">
        <v>1885.67</v>
      </c>
      <c r="E90" s="208">
        <f t="shared" si="4"/>
        <v>-7.9713390058216982E-3</v>
      </c>
      <c r="F90" s="208">
        <f t="shared" si="5"/>
        <v>-2.8070283950044628E-2</v>
      </c>
    </row>
    <row r="91" spans="2:6" ht="15" customHeight="1" x14ac:dyDescent="0.2">
      <c r="B91" s="199" t="s">
        <v>505</v>
      </c>
      <c r="C91" s="200">
        <v>23587.5</v>
      </c>
      <c r="D91" s="205">
        <v>1904.95</v>
      </c>
      <c r="E91" s="208">
        <f t="shared" si="4"/>
        <v>-9.4862556375822082E-3</v>
      </c>
      <c r="F91" s="208">
        <f t="shared" si="5"/>
        <v>1.0224482544665792E-2</v>
      </c>
    </row>
    <row r="92" spans="2:6" ht="15" customHeight="1" x14ac:dyDescent="0.2">
      <c r="B92" s="209">
        <v>45516</v>
      </c>
      <c r="C92" s="200">
        <v>24768.3</v>
      </c>
      <c r="D92" s="205">
        <v>1962.21</v>
      </c>
      <c r="E92" s="208">
        <f t="shared" si="4"/>
        <v>5.0060413354531041E-2</v>
      </c>
      <c r="F92" s="208">
        <f t="shared" si="5"/>
        <v>3.0058531719992621E-2</v>
      </c>
    </row>
    <row r="93" spans="2:6" ht="15" customHeight="1" x14ac:dyDescent="0.2">
      <c r="B93" s="209">
        <v>45303</v>
      </c>
      <c r="C93" s="200">
        <v>24677.8</v>
      </c>
      <c r="D93" s="205">
        <v>1916.26</v>
      </c>
      <c r="E93" s="208">
        <f t="shared" si="4"/>
        <v>-3.653864011660013E-3</v>
      </c>
      <c r="F93" s="208">
        <f t="shared" si="5"/>
        <v>-2.3417473155268875E-2</v>
      </c>
    </row>
    <row r="94" spans="2:6" ht="15" customHeight="1" x14ac:dyDescent="0.2">
      <c r="B94" s="199" t="s">
        <v>506</v>
      </c>
      <c r="C94" s="200">
        <v>24131.1</v>
      </c>
      <c r="D94" s="205">
        <v>1841.86</v>
      </c>
      <c r="E94" s="208">
        <f t="shared" si="4"/>
        <v>-2.2153514494809179E-2</v>
      </c>
      <c r="F94" s="208">
        <f t="shared" si="5"/>
        <v>-3.8825629089998315E-2</v>
      </c>
    </row>
    <row r="95" spans="2:6" ht="15" customHeight="1" x14ac:dyDescent="0.2">
      <c r="B95" s="199" t="s">
        <v>507</v>
      </c>
      <c r="C95" s="200">
        <v>23907.25</v>
      </c>
      <c r="D95" s="205">
        <v>1892.04</v>
      </c>
      <c r="E95" s="208">
        <f t="shared" si="4"/>
        <v>-9.2764109385812255E-3</v>
      </c>
      <c r="F95" s="208">
        <f t="shared" si="5"/>
        <v>2.7244198799040165E-2</v>
      </c>
    </row>
    <row r="96" spans="2:6" ht="15" customHeight="1" x14ac:dyDescent="0.2">
      <c r="B96" s="209">
        <v>45576</v>
      </c>
      <c r="C96" s="200">
        <v>23532.7</v>
      </c>
      <c r="D96" s="205">
        <v>1852.73</v>
      </c>
      <c r="E96" s="208">
        <f t="shared" si="4"/>
        <v>-1.5666795637306663E-2</v>
      </c>
      <c r="F96" s="208">
        <f t="shared" si="5"/>
        <v>-2.077651635271982E-2</v>
      </c>
    </row>
    <row r="97" spans="2:6" ht="15" customHeight="1" x14ac:dyDescent="0.2">
      <c r="B97" s="209">
        <v>45362</v>
      </c>
      <c r="C97" s="200">
        <v>24148.2</v>
      </c>
      <c r="D97" s="205">
        <v>1831.35</v>
      </c>
      <c r="E97" s="208">
        <f t="shared" si="4"/>
        <v>2.6155094825498049E-2</v>
      </c>
      <c r="F97" s="208">
        <f t="shared" si="5"/>
        <v>-1.1539727861048399E-2</v>
      </c>
    </row>
    <row r="98" spans="2:6" ht="15" customHeight="1" x14ac:dyDescent="0.2">
      <c r="B98" s="199" t="s">
        <v>508</v>
      </c>
      <c r="C98" s="200">
        <v>24304.35</v>
      </c>
      <c r="D98" s="205">
        <v>1751.52</v>
      </c>
      <c r="E98" s="208">
        <f t="shared" si="4"/>
        <v>6.4663204710908584E-3</v>
      </c>
      <c r="F98" s="208">
        <f t="shared" si="5"/>
        <v>-4.3590793676795747E-2</v>
      </c>
    </row>
    <row r="99" spans="2:6" ht="15" customHeight="1" x14ac:dyDescent="0.2">
      <c r="B99" s="199" t="s">
        <v>509</v>
      </c>
      <c r="C99" s="200">
        <v>24180.799999999999</v>
      </c>
      <c r="D99" s="205">
        <v>1846.15</v>
      </c>
      <c r="E99" s="208">
        <f t="shared" si="4"/>
        <v>-5.0834521392261189E-3</v>
      </c>
      <c r="F99" s="208">
        <f t="shared" si="5"/>
        <v>5.4027359093815619E-2</v>
      </c>
    </row>
    <row r="100" spans="2:6" ht="15" customHeight="1" x14ac:dyDescent="0.2">
      <c r="B100" s="199" t="s">
        <v>510</v>
      </c>
      <c r="C100" s="200">
        <v>24854.05</v>
      </c>
      <c r="D100" s="205">
        <v>1851.48</v>
      </c>
      <c r="E100" s="208">
        <f t="shared" si="4"/>
        <v>2.7842337722490562E-2</v>
      </c>
      <c r="F100" s="208">
        <f t="shared" si="5"/>
        <v>2.8870893481027782E-3</v>
      </c>
    </row>
    <row r="101" spans="2:6" ht="15" customHeight="1" x14ac:dyDescent="0.2">
      <c r="B101" s="209">
        <v>45453</v>
      </c>
      <c r="C101" s="200">
        <v>24964.25</v>
      </c>
      <c r="D101" s="205">
        <v>1833.49</v>
      </c>
      <c r="E101" s="208">
        <f t="shared" si="4"/>
        <v>4.4338850207512603E-3</v>
      </c>
      <c r="F101" s="208">
        <f t="shared" si="5"/>
        <v>-9.7165510834575919E-3</v>
      </c>
    </row>
    <row r="102" spans="2:6" ht="15" customHeight="1" x14ac:dyDescent="0.2">
      <c r="B102" s="199" t="s">
        <v>511</v>
      </c>
      <c r="C102" s="200">
        <v>25014.6</v>
      </c>
      <c r="D102" s="205">
        <v>1770.65</v>
      </c>
      <c r="E102" s="208">
        <f t="shared" si="4"/>
        <v>2.0168841443264363E-3</v>
      </c>
      <c r="F102" s="208">
        <f t="shared" si="5"/>
        <v>-3.4273434815570214E-2</v>
      </c>
    </row>
    <row r="103" spans="2:6" ht="15" customHeight="1" x14ac:dyDescent="0.2">
      <c r="B103" s="199" t="s">
        <v>512</v>
      </c>
      <c r="C103" s="200">
        <v>26178.95</v>
      </c>
      <c r="D103" s="205">
        <v>1802.34</v>
      </c>
      <c r="E103" s="208">
        <f t="shared" si="4"/>
        <v>4.6546816659071233E-2</v>
      </c>
      <c r="F103" s="208">
        <f t="shared" si="5"/>
        <v>1.7897382317227928E-2</v>
      </c>
    </row>
    <row r="104" spans="2:6" ht="15" customHeight="1" x14ac:dyDescent="0.2">
      <c r="B104" s="199" t="s">
        <v>513</v>
      </c>
      <c r="C104" s="200">
        <v>25790.95</v>
      </c>
      <c r="D104" s="205">
        <v>1754.16</v>
      </c>
      <c r="E104" s="208">
        <f t="shared" si="4"/>
        <v>-1.4821068071866894E-2</v>
      </c>
      <c r="F104" s="208">
        <f t="shared" si="5"/>
        <v>-2.6731915176936516E-2</v>
      </c>
    </row>
    <row r="105" spans="2:6" ht="15" customHeight="1" x14ac:dyDescent="0.2">
      <c r="B105" s="209">
        <v>45513</v>
      </c>
      <c r="C105" s="200">
        <v>25356.5</v>
      </c>
      <c r="D105" s="205">
        <v>1806.73</v>
      </c>
      <c r="E105" s="208">
        <f t="shared" si="4"/>
        <v>-1.684505611464493E-2</v>
      </c>
      <c r="F105" s="208">
        <f t="shared" si="5"/>
        <v>2.9968759976285009E-2</v>
      </c>
    </row>
    <row r="106" spans="2:6" ht="15" customHeight="1" x14ac:dyDescent="0.2">
      <c r="B106" s="209">
        <v>45300</v>
      </c>
      <c r="C106" s="200">
        <v>24852.15</v>
      </c>
      <c r="D106" s="205">
        <v>1750.22</v>
      </c>
      <c r="E106" s="208">
        <f t="shared" si="4"/>
        <v>-1.9890363417664036E-2</v>
      </c>
      <c r="F106" s="208">
        <f t="shared" si="5"/>
        <v>-3.1277501342203862E-2</v>
      </c>
    </row>
    <row r="107" spans="2:6" ht="15" customHeight="1" x14ac:dyDescent="0.2">
      <c r="B107" s="199" t="s">
        <v>514</v>
      </c>
      <c r="C107" s="200">
        <v>25235.9</v>
      </c>
      <c r="D107" s="205">
        <v>1747.38</v>
      </c>
      <c r="E107" s="208">
        <f t="shared" si="4"/>
        <v>1.544131996628062E-2</v>
      </c>
      <c r="F107" s="208">
        <f t="shared" si="5"/>
        <v>-1.6226531521751353E-3</v>
      </c>
    </row>
    <row r="108" spans="2:6" ht="15" customHeight="1" x14ac:dyDescent="0.2">
      <c r="B108" s="199" t="s">
        <v>515</v>
      </c>
      <c r="C108" s="200">
        <v>24823.15</v>
      </c>
      <c r="D108" s="205">
        <v>1655.89</v>
      </c>
      <c r="E108" s="208">
        <f t="shared" si="4"/>
        <v>-1.6355667917530181E-2</v>
      </c>
      <c r="F108" s="208">
        <f t="shared" si="5"/>
        <v>-5.2358387986585653E-2</v>
      </c>
    </row>
    <row r="109" spans="2:6" ht="15" customHeight="1" x14ac:dyDescent="0.2">
      <c r="B109" s="209">
        <v>45604</v>
      </c>
      <c r="C109" s="200">
        <v>24541.15</v>
      </c>
      <c r="D109" s="205">
        <v>1662.67</v>
      </c>
      <c r="E109" s="208">
        <f t="shared" si="4"/>
        <v>-1.1360363209342861E-2</v>
      </c>
      <c r="F109" s="208">
        <f t="shared" si="5"/>
        <v>4.0944748745388448E-3</v>
      </c>
    </row>
    <row r="110" spans="2:6" ht="15" customHeight="1" x14ac:dyDescent="0.2">
      <c r="B110" s="209">
        <v>45390</v>
      </c>
      <c r="C110" s="200">
        <v>24367.5</v>
      </c>
      <c r="D110" s="205">
        <v>1584.63</v>
      </c>
      <c r="E110" s="208">
        <f t="shared" si="4"/>
        <v>-7.0758705276647849E-3</v>
      </c>
      <c r="F110" s="208">
        <f t="shared" si="5"/>
        <v>-4.6936553856147034E-2</v>
      </c>
    </row>
    <row r="111" spans="2:6" ht="15" customHeight="1" x14ac:dyDescent="0.2">
      <c r="B111" s="199" t="s">
        <v>516</v>
      </c>
      <c r="C111" s="200">
        <v>24717.7</v>
      </c>
      <c r="D111" s="205">
        <v>1603.91</v>
      </c>
      <c r="E111" s="208">
        <f t="shared" si="4"/>
        <v>1.4371601518415877E-2</v>
      </c>
      <c r="F111" s="208">
        <f t="shared" si="5"/>
        <v>1.2166878072483733E-2</v>
      </c>
    </row>
    <row r="112" spans="2:6" ht="15" customHeight="1" x14ac:dyDescent="0.2">
      <c r="B112" s="199" t="s">
        <v>517</v>
      </c>
      <c r="C112" s="200">
        <v>24834.85</v>
      </c>
      <c r="D112" s="205">
        <v>1629.88</v>
      </c>
      <c r="E112" s="208">
        <f t="shared" si="4"/>
        <v>4.7395186445340354E-3</v>
      </c>
      <c r="F112" s="208">
        <f t="shared" si="5"/>
        <v>1.6191681578143324E-2</v>
      </c>
    </row>
    <row r="113" spans="2:6" ht="15" customHeight="1" x14ac:dyDescent="0.2">
      <c r="B113" s="199" t="s">
        <v>518</v>
      </c>
      <c r="C113" s="200">
        <v>24530.9</v>
      </c>
      <c r="D113" s="205">
        <v>1589.21</v>
      </c>
      <c r="E113" s="208">
        <f t="shared" ref="E113:E144" si="6">C113/C112-1</f>
        <v>-1.2238849842056476E-2</v>
      </c>
      <c r="F113" s="208">
        <f t="shared" ref="F113:F144" si="7">D113/D112-1</f>
        <v>-2.4952757258203118E-2</v>
      </c>
    </row>
    <row r="114" spans="2:6" ht="15" customHeight="1" x14ac:dyDescent="0.2">
      <c r="B114" s="209">
        <v>45480</v>
      </c>
      <c r="C114" s="200">
        <v>24502.15</v>
      </c>
      <c r="D114" s="205">
        <v>1554.98</v>
      </c>
      <c r="E114" s="208">
        <f t="shared" si="6"/>
        <v>-1.1719912436967128E-3</v>
      </c>
      <c r="F114" s="208">
        <f t="shared" si="7"/>
        <v>-2.1539003655904554E-2</v>
      </c>
    </row>
    <row r="115" spans="2:6" ht="15" customHeight="1" x14ac:dyDescent="0.2">
      <c r="B115" s="199" t="s">
        <v>519</v>
      </c>
      <c r="C115" s="200">
        <v>24323.85</v>
      </c>
      <c r="D115" s="205">
        <v>1514.31</v>
      </c>
      <c r="E115" s="208">
        <f t="shared" si="6"/>
        <v>-7.2769124342150215E-3</v>
      </c>
      <c r="F115" s="208">
        <f t="shared" si="7"/>
        <v>-2.6154677230575407E-2</v>
      </c>
    </row>
    <row r="116" spans="2:6" ht="15" customHeight="1" x14ac:dyDescent="0.2">
      <c r="B116" s="199" t="s">
        <v>520</v>
      </c>
      <c r="C116" s="200">
        <v>24010.6</v>
      </c>
      <c r="D116" s="205">
        <v>1454.71</v>
      </c>
      <c r="E116" s="208">
        <f t="shared" si="6"/>
        <v>-1.2878306682535867E-2</v>
      </c>
      <c r="F116" s="208">
        <f t="shared" si="7"/>
        <v>-3.9357859355085734E-2</v>
      </c>
    </row>
    <row r="117" spans="2:6" ht="15" customHeight="1" x14ac:dyDescent="0.2">
      <c r="B117" s="199" t="s">
        <v>521</v>
      </c>
      <c r="C117" s="200">
        <v>23501.1</v>
      </c>
      <c r="D117" s="205">
        <v>1443</v>
      </c>
      <c r="E117" s="208">
        <f t="shared" si="6"/>
        <v>-2.1219794590722429E-2</v>
      </c>
      <c r="F117" s="208">
        <f t="shared" si="7"/>
        <v>-8.0497143760612788E-3</v>
      </c>
    </row>
    <row r="118" spans="2:6" ht="15" customHeight="1" x14ac:dyDescent="0.2">
      <c r="B118" s="209">
        <v>45541</v>
      </c>
      <c r="C118" s="200">
        <v>23465.599999999999</v>
      </c>
      <c r="D118" s="205">
        <v>1426.26</v>
      </c>
      <c r="E118" s="208">
        <f t="shared" si="6"/>
        <v>-1.5105675904532045E-3</v>
      </c>
      <c r="F118" s="208">
        <f t="shared" si="7"/>
        <v>-1.1600831600831585E-2</v>
      </c>
    </row>
    <row r="119" spans="2:6" ht="15" customHeight="1" x14ac:dyDescent="0.2">
      <c r="B119" s="209">
        <v>45328</v>
      </c>
      <c r="C119" s="200">
        <v>23290.15</v>
      </c>
      <c r="D119" s="205">
        <v>1426.71</v>
      </c>
      <c r="E119" s="208">
        <f t="shared" si="6"/>
        <v>-7.4769023591980677E-3</v>
      </c>
      <c r="F119" s="208">
        <f t="shared" si="7"/>
        <v>3.1551049598244063E-4</v>
      </c>
    </row>
    <row r="120" spans="2:6" ht="15" customHeight="1" x14ac:dyDescent="0.2">
      <c r="B120" s="199" t="s">
        <v>522</v>
      </c>
      <c r="C120" s="200">
        <v>22530.7</v>
      </c>
      <c r="D120" s="205">
        <v>1319.67</v>
      </c>
      <c r="E120" s="208">
        <f t="shared" si="6"/>
        <v>-3.2608205614820029E-2</v>
      </c>
      <c r="F120" s="208">
        <f t="shared" si="7"/>
        <v>-7.5025758563408096E-2</v>
      </c>
    </row>
    <row r="121" spans="2:6" ht="15" customHeight="1" x14ac:dyDescent="0.2">
      <c r="B121" s="199" t="s">
        <v>523</v>
      </c>
      <c r="C121" s="200">
        <v>22957.1</v>
      </c>
      <c r="D121" s="205">
        <v>1340.7</v>
      </c>
      <c r="E121" s="208">
        <f t="shared" si="6"/>
        <v>1.8925288606212787E-2</v>
      </c>
      <c r="F121" s="208">
        <f t="shared" si="7"/>
        <v>1.593580213235124E-2</v>
      </c>
    </row>
    <row r="122" spans="2:6" ht="15" customHeight="1" x14ac:dyDescent="0.2">
      <c r="B122" s="209">
        <v>45631</v>
      </c>
      <c r="C122" s="200">
        <v>22466.1</v>
      </c>
      <c r="D122" s="205">
        <v>1328.74</v>
      </c>
      <c r="E122" s="208">
        <f t="shared" si="6"/>
        <v>-2.1387718832082458E-2</v>
      </c>
      <c r="F122" s="208">
        <f t="shared" si="7"/>
        <v>-8.9207130603415896E-3</v>
      </c>
    </row>
    <row r="123" spans="2:6" ht="15" customHeight="1" x14ac:dyDescent="0.2">
      <c r="B123" s="209">
        <v>45417</v>
      </c>
      <c r="C123" s="200">
        <v>22055.200000000001</v>
      </c>
      <c r="D123" s="205">
        <v>1311.79</v>
      </c>
      <c r="E123" s="208">
        <f t="shared" si="6"/>
        <v>-1.8289778822314418E-2</v>
      </c>
      <c r="F123" s="208">
        <f t="shared" si="7"/>
        <v>-1.2756445956319529E-2</v>
      </c>
    </row>
    <row r="124" spans="2:6" ht="15" customHeight="1" x14ac:dyDescent="0.2">
      <c r="B124" s="199" t="s">
        <v>524</v>
      </c>
      <c r="C124" s="200">
        <v>22475.85</v>
      </c>
      <c r="D124" s="205">
        <v>1343.54</v>
      </c>
      <c r="E124" s="208">
        <f t="shared" si="6"/>
        <v>1.9072599659037293E-2</v>
      </c>
      <c r="F124" s="208">
        <f t="shared" si="7"/>
        <v>2.4203569168845585E-2</v>
      </c>
    </row>
    <row r="125" spans="2:6" ht="15" customHeight="1" x14ac:dyDescent="0.2">
      <c r="B125" s="199" t="s">
        <v>525</v>
      </c>
      <c r="C125" s="200">
        <v>22419.95</v>
      </c>
      <c r="D125" s="205">
        <v>1468.92</v>
      </c>
      <c r="E125" s="208">
        <f t="shared" si="6"/>
        <v>-2.4871139467471659E-3</v>
      </c>
      <c r="F125" s="208">
        <f t="shared" si="7"/>
        <v>9.3320630572964136E-2</v>
      </c>
    </row>
    <row r="126" spans="2:6" ht="15" customHeight="1" x14ac:dyDescent="0.2">
      <c r="B126" s="199" t="s">
        <v>526</v>
      </c>
      <c r="C126" s="200">
        <v>22147</v>
      </c>
      <c r="D126" s="205">
        <v>1442.65</v>
      </c>
      <c r="E126" s="208">
        <f t="shared" si="6"/>
        <v>-1.2174425009868428E-2</v>
      </c>
      <c r="F126" s="208">
        <f t="shared" si="7"/>
        <v>-1.7883887481959571E-2</v>
      </c>
    </row>
    <row r="127" spans="2:6" ht="15" customHeight="1" x14ac:dyDescent="0.2">
      <c r="B127" s="209">
        <v>45477</v>
      </c>
      <c r="C127" s="200">
        <v>22519.4</v>
      </c>
      <c r="D127" s="205">
        <v>1516.41</v>
      </c>
      <c r="E127" s="208">
        <f t="shared" si="6"/>
        <v>1.6814918499119536E-2</v>
      </c>
      <c r="F127" s="208">
        <f t="shared" si="7"/>
        <v>5.1128132256611059E-2</v>
      </c>
    </row>
    <row r="128" spans="2:6" ht="15" customHeight="1" x14ac:dyDescent="0.2">
      <c r="B128" s="199" t="s">
        <v>527</v>
      </c>
      <c r="C128" s="200">
        <v>22513.7</v>
      </c>
      <c r="D128" s="205">
        <v>1540.08</v>
      </c>
      <c r="E128" s="208">
        <f t="shared" si="6"/>
        <v>-2.5311509187642134E-4</v>
      </c>
      <c r="F128" s="208">
        <f t="shared" si="7"/>
        <v>1.5609234969434338E-2</v>
      </c>
    </row>
    <row r="129" spans="2:6" ht="15" customHeight="1" x14ac:dyDescent="0.2">
      <c r="B129" s="199" t="s">
        <v>528</v>
      </c>
      <c r="C129" s="200">
        <v>22326.9</v>
      </c>
      <c r="D129" s="205">
        <v>1538.38</v>
      </c>
      <c r="E129" s="208">
        <f t="shared" si="6"/>
        <v>-8.2971701674979803E-3</v>
      </c>
      <c r="F129" s="208">
        <f t="shared" si="7"/>
        <v>-1.1038387616226775E-3</v>
      </c>
    </row>
    <row r="130" spans="2:6" ht="15" customHeight="1" x14ac:dyDescent="0.2">
      <c r="B130" s="199" t="s">
        <v>529</v>
      </c>
      <c r="C130" s="200">
        <v>22096.75</v>
      </c>
      <c r="D130" s="205">
        <v>1552.63</v>
      </c>
      <c r="E130" s="208">
        <f t="shared" si="6"/>
        <v>-1.0308193255669229E-2</v>
      </c>
      <c r="F130" s="208">
        <f t="shared" si="7"/>
        <v>9.2629909385197884E-3</v>
      </c>
    </row>
    <row r="131" spans="2:6" ht="15" customHeight="1" x14ac:dyDescent="0.2">
      <c r="B131" s="209">
        <v>45568</v>
      </c>
      <c r="C131" s="200">
        <v>22023.35</v>
      </c>
      <c r="D131" s="205">
        <v>1641.79</v>
      </c>
      <c r="E131" s="208">
        <f t="shared" si="6"/>
        <v>-3.3217554617761547E-3</v>
      </c>
      <c r="F131" s="208">
        <f t="shared" si="7"/>
        <v>5.7425143144213209E-2</v>
      </c>
    </row>
    <row r="132" spans="2:6" ht="15" customHeight="1" x14ac:dyDescent="0.2">
      <c r="B132" s="209">
        <v>45354</v>
      </c>
      <c r="C132" s="200">
        <v>22493.55</v>
      </c>
      <c r="D132" s="205">
        <v>1632.17</v>
      </c>
      <c r="E132" s="208">
        <f t="shared" si="6"/>
        <v>2.1350067087886337E-2</v>
      </c>
      <c r="F132" s="208">
        <f t="shared" si="7"/>
        <v>-5.8594582742006462E-3</v>
      </c>
    </row>
    <row r="133" spans="2:6" ht="15" customHeight="1" x14ac:dyDescent="0.2">
      <c r="B133" s="199" t="s">
        <v>530</v>
      </c>
      <c r="C133" s="200">
        <v>22338.75</v>
      </c>
      <c r="D133" s="205">
        <v>1638.6</v>
      </c>
      <c r="E133" s="208">
        <f t="shared" si="6"/>
        <v>-6.8819728322118134E-3</v>
      </c>
      <c r="F133" s="208">
        <f t="shared" si="7"/>
        <v>3.9395406115783071E-3</v>
      </c>
    </row>
    <row r="134" spans="2:6" ht="15" customHeight="1" x14ac:dyDescent="0.2">
      <c r="B134" s="199" t="s">
        <v>531</v>
      </c>
      <c r="C134" s="200">
        <v>22212.7</v>
      </c>
      <c r="D134" s="205">
        <v>1660.17</v>
      </c>
      <c r="E134" s="208">
        <f t="shared" si="6"/>
        <v>-5.6426612948351496E-3</v>
      </c>
      <c r="F134" s="208">
        <f t="shared" si="7"/>
        <v>1.3163676309044359E-2</v>
      </c>
    </row>
    <row r="135" spans="2:6" ht="15" customHeight="1" x14ac:dyDescent="0.2">
      <c r="B135" s="209">
        <v>45598</v>
      </c>
      <c r="C135" s="200">
        <v>22040.7</v>
      </c>
      <c r="D135" s="205">
        <v>1661.87</v>
      </c>
      <c r="E135" s="208">
        <f t="shared" si="6"/>
        <v>-7.7433180117680855E-3</v>
      </c>
      <c r="F135" s="208">
        <f t="shared" si="7"/>
        <v>1.0239915189407256E-3</v>
      </c>
    </row>
    <row r="136" spans="2:6" ht="15" customHeight="1" x14ac:dyDescent="0.2">
      <c r="B136" s="209">
        <v>45384</v>
      </c>
      <c r="C136" s="200">
        <v>21782.5</v>
      </c>
      <c r="D136" s="205">
        <v>1625.14</v>
      </c>
      <c r="E136" s="208">
        <f t="shared" si="6"/>
        <v>-1.1714691457167858E-2</v>
      </c>
      <c r="F136" s="208">
        <f t="shared" si="7"/>
        <v>-2.2101608429058728E-2</v>
      </c>
    </row>
    <row r="137" spans="2:6" ht="15" customHeight="1" x14ac:dyDescent="0.2">
      <c r="B137" s="199" t="s">
        <v>532</v>
      </c>
      <c r="C137" s="200">
        <v>21853.8</v>
      </c>
      <c r="D137" s="205">
        <v>1578.45</v>
      </c>
      <c r="E137" s="208">
        <f t="shared" si="6"/>
        <v>3.273269826695735E-3</v>
      </c>
      <c r="F137" s="208">
        <f t="shared" si="7"/>
        <v>-2.8729832506737885E-2</v>
      </c>
    </row>
    <row r="138" spans="2:6" ht="15" customHeight="1" x14ac:dyDescent="0.2">
      <c r="B138" s="199" t="s">
        <v>533</v>
      </c>
      <c r="C138" s="200">
        <v>21352.6</v>
      </c>
      <c r="D138" s="205">
        <v>1545.06</v>
      </c>
      <c r="E138" s="208">
        <f t="shared" si="6"/>
        <v>-2.2934226541837188E-2</v>
      </c>
      <c r="F138" s="208">
        <f t="shared" si="7"/>
        <v>-2.1153663403972289E-2</v>
      </c>
    </row>
    <row r="139" spans="2:6" ht="15" customHeight="1" x14ac:dyDescent="0.2">
      <c r="B139" s="199" t="s">
        <v>534</v>
      </c>
      <c r="C139" s="200">
        <v>21622.400000000001</v>
      </c>
      <c r="D139" s="205">
        <v>1562.7</v>
      </c>
      <c r="E139" s="208">
        <f t="shared" si="6"/>
        <v>1.2635463596939234E-2</v>
      </c>
      <c r="F139" s="208">
        <f t="shared" si="7"/>
        <v>1.1417032348258305E-2</v>
      </c>
    </row>
    <row r="140" spans="2:6" ht="15" customHeight="1" x14ac:dyDescent="0.2">
      <c r="B140" s="209">
        <v>45474</v>
      </c>
      <c r="C140" s="200">
        <v>21894.55</v>
      </c>
      <c r="D140" s="205">
        <v>1535.64</v>
      </c>
      <c r="E140" s="208">
        <f t="shared" si="6"/>
        <v>1.2586484386561958E-2</v>
      </c>
      <c r="F140" s="208">
        <f t="shared" si="7"/>
        <v>-1.7316183528508278E-2</v>
      </c>
    </row>
    <row r="141" spans="2:6" ht="15" customHeight="1" x14ac:dyDescent="0.2">
      <c r="B141" s="199" t="s">
        <v>535</v>
      </c>
      <c r="C141" s="200">
        <v>21710.799999999999</v>
      </c>
      <c r="D141" s="205">
        <v>1428</v>
      </c>
      <c r="E141" s="208">
        <f t="shared" si="6"/>
        <v>-8.3924995033010097E-3</v>
      </c>
      <c r="F141" s="208">
        <f t="shared" si="7"/>
        <v>-7.0094553410955718E-2</v>
      </c>
    </row>
    <row r="142" spans="2:6" ht="15" customHeight="1" x14ac:dyDescent="0.2">
      <c r="B142" s="199" t="s">
        <v>536</v>
      </c>
      <c r="C142" s="200">
        <v>21731.4</v>
      </c>
      <c r="D142" s="205">
        <v>1461.19</v>
      </c>
      <c r="E142" s="208">
        <f t="shared" si="6"/>
        <v>9.4883652375776784E-4</v>
      </c>
      <c r="F142" s="208">
        <f t="shared" si="7"/>
        <v>2.3242296918767558E-2</v>
      </c>
    </row>
    <row r="143" spans="2:6" ht="15" customHeight="1" x14ac:dyDescent="0.2">
      <c r="B143" s="199" t="s">
        <v>537</v>
      </c>
      <c r="C143" s="200">
        <v>21349.4</v>
      </c>
      <c r="D143" s="205">
        <v>1457.8</v>
      </c>
      <c r="E143" s="208">
        <f t="shared" si="6"/>
        <v>-1.7578250825993735E-2</v>
      </c>
      <c r="F143" s="208">
        <f t="shared" si="7"/>
        <v>-2.3200268274489178E-3</v>
      </c>
    </row>
    <row r="144" spans="2:6" ht="15" customHeight="1" x14ac:dyDescent="0.2">
      <c r="B144" s="209">
        <v>45211</v>
      </c>
      <c r="C144" s="200">
        <v>21456.65</v>
      </c>
      <c r="D144" s="205">
        <v>1486.31</v>
      </c>
      <c r="E144" s="208">
        <f t="shared" si="6"/>
        <v>5.023560381087977E-3</v>
      </c>
      <c r="F144" s="208">
        <f t="shared" si="7"/>
        <v>1.9556866511181159E-2</v>
      </c>
    </row>
    <row r="145" spans="2:6" ht="15" customHeight="1" x14ac:dyDescent="0.2">
      <c r="B145" s="209">
        <v>44997</v>
      </c>
      <c r="C145" s="200">
        <v>20969.400000000001</v>
      </c>
      <c r="D145" s="205">
        <v>1359.53</v>
      </c>
      <c r="E145" s="208">
        <f t="shared" ref="E145:E172" si="8">C145/C144-1</f>
        <v>-2.2708577527246754E-2</v>
      </c>
      <c r="F145" s="208">
        <f t="shared" ref="F145:F172" si="9">D145/D144-1</f>
        <v>-8.5298490893555123E-2</v>
      </c>
    </row>
    <row r="146" spans="2:6" ht="15" customHeight="1" x14ac:dyDescent="0.2">
      <c r="B146" s="199" t="s">
        <v>538</v>
      </c>
      <c r="C146" s="200">
        <v>20267.900000000001</v>
      </c>
      <c r="D146" s="205">
        <v>1332.22</v>
      </c>
      <c r="E146" s="208">
        <f t="shared" si="8"/>
        <v>-3.3453508445639879E-2</v>
      </c>
      <c r="F146" s="208">
        <f t="shared" si="9"/>
        <v>-2.0087824468750237E-2</v>
      </c>
    </row>
    <row r="147" spans="2:6" ht="15" customHeight="1" x14ac:dyDescent="0.2">
      <c r="B147" s="199" t="s">
        <v>539</v>
      </c>
      <c r="C147" s="200">
        <v>19794.7</v>
      </c>
      <c r="D147" s="205">
        <v>1304.77</v>
      </c>
      <c r="E147" s="208">
        <f t="shared" si="8"/>
        <v>-2.3347263406667706E-2</v>
      </c>
      <c r="F147" s="208">
        <f t="shared" si="9"/>
        <v>-2.0604704928615436E-2</v>
      </c>
    </row>
    <row r="148" spans="2:6" ht="15" customHeight="1" x14ac:dyDescent="0.2">
      <c r="B148" s="209">
        <v>45271</v>
      </c>
      <c r="C148" s="200">
        <v>19731.8</v>
      </c>
      <c r="D148" s="205">
        <v>1304.77</v>
      </c>
      <c r="E148" s="208">
        <f t="shared" si="8"/>
        <v>-3.1776182513502116E-3</v>
      </c>
      <c r="F148" s="208">
        <f t="shared" si="9"/>
        <v>0</v>
      </c>
    </row>
    <row r="149" spans="2:6" ht="15" customHeight="1" x14ac:dyDescent="0.2">
      <c r="B149" s="209">
        <v>45057</v>
      </c>
      <c r="C149" s="200">
        <v>19425.349999999999</v>
      </c>
      <c r="D149" s="205">
        <v>1251.25</v>
      </c>
      <c r="E149" s="208">
        <f t="shared" si="8"/>
        <v>-1.5530767593427863E-2</v>
      </c>
      <c r="F149" s="208">
        <f t="shared" si="9"/>
        <v>-4.1018723606459417E-2</v>
      </c>
    </row>
    <row r="150" spans="2:6" ht="15" customHeight="1" x14ac:dyDescent="0.2">
      <c r="B150" s="199" t="s">
        <v>540</v>
      </c>
      <c r="C150" s="200">
        <v>19230.599999999999</v>
      </c>
      <c r="D150" s="205">
        <v>1262.01</v>
      </c>
      <c r="E150" s="208">
        <f t="shared" si="8"/>
        <v>-1.0025559385030358E-2</v>
      </c>
      <c r="F150" s="208">
        <f t="shared" si="9"/>
        <v>8.599400599400564E-3</v>
      </c>
    </row>
    <row r="151" spans="2:6" ht="15" customHeight="1" x14ac:dyDescent="0.2">
      <c r="B151" s="199" t="s">
        <v>541</v>
      </c>
      <c r="C151" s="200">
        <v>19047.25</v>
      </c>
      <c r="D151" s="205">
        <v>1264.45</v>
      </c>
      <c r="E151" s="208">
        <f t="shared" si="8"/>
        <v>-9.5342839016983039E-3</v>
      </c>
      <c r="F151" s="208">
        <f t="shared" si="9"/>
        <v>1.9334236654227066E-3</v>
      </c>
    </row>
    <row r="152" spans="2:6" ht="15" customHeight="1" x14ac:dyDescent="0.2">
      <c r="B152" s="199" t="s">
        <v>542</v>
      </c>
      <c r="C152" s="200">
        <v>19542.650000000001</v>
      </c>
      <c r="D152" s="205">
        <v>1254.3900000000001</v>
      </c>
      <c r="E152" s="208">
        <f t="shared" si="8"/>
        <v>2.6009003924451157E-2</v>
      </c>
      <c r="F152" s="208">
        <f t="shared" si="9"/>
        <v>-7.9560283127050324E-3</v>
      </c>
    </row>
    <row r="153" spans="2:6" ht="15" customHeight="1" x14ac:dyDescent="0.2">
      <c r="B153" s="209">
        <v>45148</v>
      </c>
      <c r="C153" s="200">
        <v>19751.05</v>
      </c>
      <c r="D153" s="205">
        <v>1251.69</v>
      </c>
      <c r="E153" s="208">
        <f t="shared" si="8"/>
        <v>1.0663855720692839E-2</v>
      </c>
      <c r="F153" s="208">
        <f t="shared" si="9"/>
        <v>-2.1524406285127196E-3</v>
      </c>
    </row>
    <row r="154" spans="2:6" ht="15" customHeight="1" x14ac:dyDescent="0.2">
      <c r="B154" s="209">
        <v>44936</v>
      </c>
      <c r="C154" s="200">
        <v>19653.5</v>
      </c>
      <c r="D154" s="205">
        <v>1233.56</v>
      </c>
      <c r="E154" s="208">
        <f t="shared" si="8"/>
        <v>-4.9389779277556611E-3</v>
      </c>
      <c r="F154" s="208">
        <f t="shared" si="9"/>
        <v>-1.4484417068123978E-2</v>
      </c>
    </row>
    <row r="155" spans="2:6" ht="15" customHeight="1" x14ac:dyDescent="0.2">
      <c r="B155" s="199" t="s">
        <v>543</v>
      </c>
      <c r="C155" s="200">
        <v>19638.3</v>
      </c>
      <c r="D155" s="205">
        <v>1230.67</v>
      </c>
      <c r="E155" s="208">
        <f t="shared" si="8"/>
        <v>-7.7339914010232658E-4</v>
      </c>
      <c r="F155" s="208">
        <f t="shared" si="9"/>
        <v>-2.3428126722655485E-3</v>
      </c>
    </row>
    <row r="156" spans="2:6" ht="15" customHeight="1" x14ac:dyDescent="0.2">
      <c r="B156" s="199" t="s">
        <v>544</v>
      </c>
      <c r="C156" s="200">
        <v>19674.25</v>
      </c>
      <c r="D156" s="205">
        <v>1269.44</v>
      </c>
      <c r="E156" s="208">
        <f t="shared" si="8"/>
        <v>1.8306065188942178E-3</v>
      </c>
      <c r="F156" s="208">
        <f t="shared" si="9"/>
        <v>3.1503164942673578E-2</v>
      </c>
    </row>
    <row r="157" spans="2:6" ht="15" customHeight="1" x14ac:dyDescent="0.2">
      <c r="B157" s="209">
        <v>45208</v>
      </c>
      <c r="C157" s="200">
        <v>20192.349999999999</v>
      </c>
      <c r="D157" s="205">
        <v>1300.23</v>
      </c>
      <c r="E157" s="208">
        <f t="shared" si="8"/>
        <v>2.6333913618054039E-2</v>
      </c>
      <c r="F157" s="208">
        <f t="shared" si="9"/>
        <v>2.4254789513486141E-2</v>
      </c>
    </row>
    <row r="158" spans="2:6" ht="15" customHeight="1" x14ac:dyDescent="0.2">
      <c r="B158" s="209">
        <v>44994</v>
      </c>
      <c r="C158" s="200">
        <v>19819.95</v>
      </c>
      <c r="D158" s="205">
        <v>1257.82</v>
      </c>
      <c r="E158" s="208">
        <f t="shared" si="8"/>
        <v>-1.8442628024969765E-2</v>
      </c>
      <c r="F158" s="208">
        <f t="shared" si="9"/>
        <v>-3.2617306168908677E-2</v>
      </c>
    </row>
    <row r="159" spans="2:6" ht="15" customHeight="1" x14ac:dyDescent="0.2">
      <c r="B159" s="199" t="s">
        <v>545</v>
      </c>
      <c r="C159" s="200">
        <v>19435.3</v>
      </c>
      <c r="D159" s="205">
        <v>1181.83</v>
      </c>
      <c r="E159" s="208">
        <f t="shared" si="8"/>
        <v>-1.940721343898455E-2</v>
      </c>
      <c r="F159" s="208">
        <f t="shared" si="9"/>
        <v>-6.041404970504527E-2</v>
      </c>
    </row>
    <row r="160" spans="2:6" ht="15" customHeight="1" x14ac:dyDescent="0.2">
      <c r="B160" s="199" t="s">
        <v>546</v>
      </c>
      <c r="C160" s="200">
        <v>19265.8</v>
      </c>
      <c r="D160" s="205">
        <v>1150.0899999999999</v>
      </c>
      <c r="E160" s="208">
        <f t="shared" si="8"/>
        <v>-8.7212443337638668E-3</v>
      </c>
      <c r="F160" s="208">
        <f t="shared" si="9"/>
        <v>-2.6856654510377997E-2</v>
      </c>
    </row>
    <row r="161" spans="2:6" ht="15" customHeight="1" x14ac:dyDescent="0.2">
      <c r="B161" s="199" t="s">
        <v>547</v>
      </c>
      <c r="C161" s="200">
        <v>19310.150000000001</v>
      </c>
      <c r="D161" s="205">
        <v>1169.77</v>
      </c>
      <c r="E161" s="208">
        <f t="shared" si="8"/>
        <v>2.3020066646597392E-3</v>
      </c>
      <c r="F161" s="208">
        <f t="shared" si="9"/>
        <v>1.711170430140263E-2</v>
      </c>
    </row>
    <row r="162" spans="2:6" ht="15" customHeight="1" x14ac:dyDescent="0.2">
      <c r="B162" s="209">
        <v>45085</v>
      </c>
      <c r="C162" s="200">
        <v>19428.3</v>
      </c>
      <c r="D162" s="205">
        <v>1167.53</v>
      </c>
      <c r="E162" s="208">
        <f t="shared" si="8"/>
        <v>6.1185438745943177E-3</v>
      </c>
      <c r="F162" s="208">
        <f t="shared" si="9"/>
        <v>-1.9149063491114005E-3</v>
      </c>
    </row>
    <row r="163" spans="2:6" ht="15" customHeight="1" x14ac:dyDescent="0.2">
      <c r="B163" s="199" t="s">
        <v>548</v>
      </c>
      <c r="C163" s="200">
        <v>19517</v>
      </c>
      <c r="D163" s="205">
        <v>1140.52</v>
      </c>
      <c r="E163" s="208">
        <f t="shared" si="8"/>
        <v>4.5655049592605579E-3</v>
      </c>
      <c r="F163" s="208">
        <f t="shared" si="9"/>
        <v>-2.3134309182633372E-2</v>
      </c>
    </row>
    <row r="164" spans="2:6" ht="15" customHeight="1" x14ac:dyDescent="0.2">
      <c r="B164" s="199" t="s">
        <v>549</v>
      </c>
      <c r="C164" s="200">
        <v>19646.05</v>
      </c>
      <c r="D164" s="205">
        <v>1099.8499999999999</v>
      </c>
      <c r="E164" s="208">
        <f t="shared" si="8"/>
        <v>6.6121842496285055E-3</v>
      </c>
      <c r="F164" s="208">
        <f t="shared" si="9"/>
        <v>-3.5659173008803058E-2</v>
      </c>
    </row>
    <row r="165" spans="2:6" ht="15" customHeight="1" x14ac:dyDescent="0.2">
      <c r="B165" s="199" t="s">
        <v>550</v>
      </c>
      <c r="C165" s="200">
        <v>19745</v>
      </c>
      <c r="D165" s="205">
        <v>1111.71</v>
      </c>
      <c r="E165" s="208">
        <f t="shared" si="8"/>
        <v>5.0366358631888097E-3</v>
      </c>
      <c r="F165" s="208">
        <f t="shared" si="9"/>
        <v>1.0783288630267895E-2</v>
      </c>
    </row>
    <row r="166" spans="2:6" ht="15" customHeight="1" x14ac:dyDescent="0.2">
      <c r="B166" s="209">
        <v>45176</v>
      </c>
      <c r="C166" s="200">
        <v>19564.5</v>
      </c>
      <c r="D166" s="205">
        <v>1147.0999999999999</v>
      </c>
      <c r="E166" s="208">
        <f t="shared" si="8"/>
        <v>-9.1415548240060263E-3</v>
      </c>
      <c r="F166" s="208">
        <f t="shared" si="9"/>
        <v>3.1833841559399279E-2</v>
      </c>
    </row>
    <row r="167" spans="2:6" ht="15" customHeight="1" x14ac:dyDescent="0.2">
      <c r="B167" s="209">
        <v>44964</v>
      </c>
      <c r="C167" s="200">
        <v>19331.8</v>
      </c>
      <c r="D167" s="205">
        <v>1153.72</v>
      </c>
      <c r="E167" s="208">
        <f t="shared" si="8"/>
        <v>-1.1893991668583404E-2</v>
      </c>
      <c r="F167" s="208">
        <f t="shared" si="9"/>
        <v>5.7710748844914672E-3</v>
      </c>
    </row>
    <row r="168" spans="2:6" ht="15" customHeight="1" x14ac:dyDescent="0.2">
      <c r="B168" s="199" t="s">
        <v>551</v>
      </c>
      <c r="C168" s="200">
        <v>19189.05</v>
      </c>
      <c r="D168" s="205">
        <v>1183.97</v>
      </c>
      <c r="E168" s="208">
        <f t="shared" si="8"/>
        <v>-7.3842063336058139E-3</v>
      </c>
      <c r="F168" s="208">
        <f t="shared" si="9"/>
        <v>2.6219533335644751E-2</v>
      </c>
    </row>
    <row r="169" spans="2:6" ht="15" customHeight="1" x14ac:dyDescent="0.2">
      <c r="B169" s="199" t="s">
        <v>552</v>
      </c>
      <c r="C169" s="200">
        <v>18665.5</v>
      </c>
      <c r="D169" s="205">
        <v>1161.25</v>
      </c>
      <c r="E169" s="208">
        <f t="shared" si="8"/>
        <v>-2.7283789452838936E-2</v>
      </c>
      <c r="F169" s="208">
        <f t="shared" si="9"/>
        <v>-1.9189675414073015E-2</v>
      </c>
    </row>
    <row r="170" spans="2:6" ht="15" customHeight="1" x14ac:dyDescent="0.2">
      <c r="B170" s="209">
        <v>45236</v>
      </c>
      <c r="C170" s="200">
        <v>18826</v>
      </c>
      <c r="D170" s="205">
        <v>1144.3599999999999</v>
      </c>
      <c r="E170" s="208">
        <f t="shared" si="8"/>
        <v>8.598751707695973E-3</v>
      </c>
      <c r="F170" s="208">
        <f t="shared" si="9"/>
        <v>-1.4544671689989297E-2</v>
      </c>
    </row>
    <row r="171" spans="2:6" ht="15" customHeight="1" x14ac:dyDescent="0.2">
      <c r="B171" s="209">
        <v>45022</v>
      </c>
      <c r="C171" s="200">
        <v>18563.400000000001</v>
      </c>
      <c r="D171" s="205">
        <v>1106.04</v>
      </c>
      <c r="E171" s="208">
        <f t="shared" si="8"/>
        <v>-1.3948794220758454E-2</v>
      </c>
      <c r="F171" s="208">
        <f t="shared" si="9"/>
        <v>-3.3485965954769381E-2</v>
      </c>
    </row>
    <row r="172" spans="2:6" ht="15" customHeight="1" x14ac:dyDescent="0.2">
      <c r="B172" s="199" t="s">
        <v>553</v>
      </c>
      <c r="C172" s="200">
        <v>18534.099999999999</v>
      </c>
      <c r="D172" s="205">
        <v>1133.24</v>
      </c>
      <c r="E172" s="208">
        <f t="shared" si="8"/>
        <v>-1.5783746511954799E-3</v>
      </c>
      <c r="F172" s="208">
        <f t="shared" si="9"/>
        <v>2.4592238978698777E-2</v>
      </c>
    </row>
  </sheetData>
  <mergeCells count="4">
    <mergeCell ref="B1:F1"/>
    <mergeCell ref="B4:G4"/>
    <mergeCell ref="B13:G13"/>
    <mergeCell ref="B15:F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Sheet</vt:lpstr>
      <vt:lpstr>📋 Cover</vt:lpstr>
      <vt:lpstr>📊 Hist Data</vt:lpstr>
      <vt:lpstr>🔑 Assumptions</vt:lpstr>
      <vt:lpstr>📈 Projections</vt:lpstr>
      <vt:lpstr>💰 FCF &amp; Val</vt:lpstr>
      <vt:lpstr>🔬 Sensitivity</vt:lpstr>
      <vt:lpstr>📐 Beta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Arnav Agarwal</cp:lastModifiedBy>
  <cp:revision>0</cp:revision>
  <dcterms:created xsi:type="dcterms:W3CDTF">2026-05-25T21:30:05Z</dcterms:created>
  <dcterms:modified xsi:type="dcterms:W3CDTF">2026-05-31T12:22:01Z</dcterms:modified>
  <dc:language>en-US</dc:language>
</cp:coreProperties>
</file>